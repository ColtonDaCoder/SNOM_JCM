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Colton Bruni\Documents\GitHub\SNOM_JCM\"/>
    </mc:Choice>
  </mc:AlternateContent>
  <xr:revisionPtr revIDLastSave="0" documentId="13_ncr:1_{4BFDE9F7-3923-4229-9D8A-E996F23A4151}" xr6:coauthVersionLast="47" xr6:coauthVersionMax="47" xr10:uidLastSave="{00000000-0000-0000-0000-000000000000}"/>
  <bookViews>
    <workbookView xWindow="-120" yWindow="-120" windowWidth="29040" windowHeight="15720" activeTab="4" xr2:uid="{96DE1B5B-F95A-45E5-9C29-7CBD159388AF}"/>
  </bookViews>
  <sheets>
    <sheet name="Sheet1" sheetId="1" r:id="rId1"/>
    <sheet name="Focused" sheetId="4" r:id="rId2"/>
    <sheet name="NP" sheetId="3" r:id="rId3"/>
    <sheet name="Sheet2" sheetId="2" r:id="rId4"/>
    <sheet name="Sheet3" sheetId="5" r:id="rId5"/>
  </sheets>
  <definedNames>
    <definedName name="A" localSheetId="3">Sheet2!$I$1</definedName>
    <definedName name="A">Focused!$H$1</definedName>
    <definedName name="B">Focused!$H$2</definedName>
    <definedName name="C_">Focused!$H$3</definedName>
    <definedName name="n">Sheet2!$I$3</definedName>
    <definedName name="omega">Sheet2!$I$2</definedName>
    <definedName name="P_IM">Sheet2!$W$2</definedName>
    <definedName name="p_off">Sheet2!$N$1</definedName>
    <definedName name="p_OM">Sheet2!$W$1</definedName>
    <definedName name="p_S">Sheet2!$W$3</definedName>
    <definedName name="phi">Sheet2!$N$2</definedName>
    <definedName name="r_IM">Sheet2!$U$2</definedName>
    <definedName name="r_OM">Sheet2!$U$1</definedName>
    <definedName name="r_S">Sheet2!$U$3</definedName>
    <definedName name="solver_adj" localSheetId="1" hidden="1">Focused!$H$3</definedName>
    <definedName name="solver_adj" localSheetId="0" hidden="1">Sheet1!$O$87:$O$89</definedName>
    <definedName name="solver_cvg" localSheetId="1" hidden="1">0.0001</definedName>
    <definedName name="solver_cvg" localSheetId="0" hidden="1">0.0001</definedName>
    <definedName name="solver_drv" localSheetId="1" hidden="1">1</definedName>
    <definedName name="solver_drv" localSheetId="0" hidden="1">1</definedName>
    <definedName name="solver_eng" localSheetId="1" hidden="1">1</definedName>
    <definedName name="solver_eng" localSheetId="0" hidden="1">1</definedName>
    <definedName name="solver_est" localSheetId="1" hidden="1">1</definedName>
    <definedName name="solver_est" localSheetId="0" hidden="1">1</definedName>
    <definedName name="solver_itr" localSheetId="1" hidden="1">2147483647</definedName>
    <definedName name="solver_itr" localSheetId="0" hidden="1">2147483647</definedName>
    <definedName name="solver_mip" localSheetId="1" hidden="1">2147483647</definedName>
    <definedName name="solver_mip" localSheetId="0" hidden="1">2147483647</definedName>
    <definedName name="solver_mni" localSheetId="1" hidden="1">30</definedName>
    <definedName name="solver_mni" localSheetId="0" hidden="1">30</definedName>
    <definedName name="solver_mrt" localSheetId="1" hidden="1">0.075</definedName>
    <definedName name="solver_mrt" localSheetId="0" hidden="1">0.075</definedName>
    <definedName name="solver_msl" localSheetId="1" hidden="1">2</definedName>
    <definedName name="solver_msl" localSheetId="0" hidden="1">2</definedName>
    <definedName name="solver_neg" localSheetId="1" hidden="1">1</definedName>
    <definedName name="solver_neg" localSheetId="0" hidden="1">1</definedName>
    <definedName name="solver_nod" localSheetId="1" hidden="1">2147483647</definedName>
    <definedName name="solver_nod" localSheetId="0" hidden="1">2147483647</definedName>
    <definedName name="solver_num" localSheetId="1" hidden="1">0</definedName>
    <definedName name="solver_num" localSheetId="0" hidden="1">0</definedName>
    <definedName name="solver_nwt" localSheetId="1" hidden="1">1</definedName>
    <definedName name="solver_nwt" localSheetId="0" hidden="1">1</definedName>
    <definedName name="solver_opt" localSheetId="1" hidden="1">Focused!$H$13</definedName>
    <definedName name="solver_opt" localSheetId="0" hidden="1">Sheet1!$M$110</definedName>
    <definedName name="solver_pre" localSheetId="1" hidden="1">0.000001</definedName>
    <definedName name="solver_pre" localSheetId="0" hidden="1">0.000001</definedName>
    <definedName name="solver_rbv" localSheetId="1" hidden="1">1</definedName>
    <definedName name="solver_rbv" localSheetId="0" hidden="1">1</definedName>
    <definedName name="solver_rlx" localSheetId="1" hidden="1">2</definedName>
    <definedName name="solver_rlx" localSheetId="0" hidden="1">2</definedName>
    <definedName name="solver_rsd" localSheetId="1" hidden="1">0</definedName>
    <definedName name="solver_rsd" localSheetId="0" hidden="1">0</definedName>
    <definedName name="solver_scl" localSheetId="1" hidden="1">1</definedName>
    <definedName name="solver_scl" localSheetId="0" hidden="1">1</definedName>
    <definedName name="solver_sho" localSheetId="1" hidden="1">2</definedName>
    <definedName name="solver_sho" localSheetId="0" hidden="1">2</definedName>
    <definedName name="solver_ssz" localSheetId="1" hidden="1">100</definedName>
    <definedName name="solver_ssz" localSheetId="0" hidden="1">100</definedName>
    <definedName name="solver_tim" localSheetId="1" hidden="1">2147483647</definedName>
    <definedName name="solver_tim" localSheetId="0" hidden="1">2147483647</definedName>
    <definedName name="solver_tol" localSheetId="1" hidden="1">0.01</definedName>
    <definedName name="solver_tol" localSheetId="0" hidden="1">0.01</definedName>
    <definedName name="solver_typ" localSheetId="1" hidden="1">3</definedName>
    <definedName name="solver_typ" localSheetId="0" hidden="1">2</definedName>
    <definedName name="solver_val" localSheetId="1" hidden="1">0</definedName>
    <definedName name="solver_val" localSheetId="0" hidden="1">0</definedName>
    <definedName name="solver_ver" localSheetId="1" hidden="1">3</definedName>
    <definedName name="solver_ver" localSheetId="0"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2" i="5" l="1"/>
  <c r="N11" i="5"/>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3" i="2"/>
  <c r="I2" i="2"/>
  <c r="B27" i="2" s="1"/>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3" i="2"/>
  <c r="B59" i="2" l="1"/>
  <c r="B43" i="2"/>
  <c r="B91" i="2"/>
  <c r="B75" i="2"/>
  <c r="B94" i="2"/>
  <c r="B78" i="2"/>
  <c r="B62" i="2"/>
  <c r="B46" i="2"/>
  <c r="B30" i="2"/>
  <c r="B14" i="2"/>
  <c r="B93" i="2"/>
  <c r="B61" i="2"/>
  <c r="B45" i="2"/>
  <c r="B13" i="2"/>
  <c r="B77" i="2"/>
  <c r="B29" i="2"/>
  <c r="B92" i="2"/>
  <c r="B76" i="2"/>
  <c r="B60" i="2"/>
  <c r="B44" i="2"/>
  <c r="B28" i="2"/>
  <c r="B12" i="2"/>
  <c r="B74" i="2"/>
  <c r="B73" i="2"/>
  <c r="B9" i="2"/>
  <c r="B56" i="2"/>
  <c r="B86" i="2"/>
  <c r="B70" i="2"/>
  <c r="B38" i="2"/>
  <c r="B22" i="2"/>
  <c r="B87" i="2"/>
  <c r="B54" i="2"/>
  <c r="B6" i="2"/>
  <c r="B101" i="2"/>
  <c r="B85" i="2"/>
  <c r="B69" i="2"/>
  <c r="B53" i="2"/>
  <c r="B37" i="2"/>
  <c r="B21" i="2"/>
  <c r="B5" i="2"/>
  <c r="B90" i="2"/>
  <c r="B10" i="2"/>
  <c r="B25" i="2"/>
  <c r="B3" i="2"/>
  <c r="B24" i="2"/>
  <c r="B103" i="2"/>
  <c r="B23" i="2"/>
  <c r="B102" i="2"/>
  <c r="B84" i="2"/>
  <c r="B36" i="2"/>
  <c r="B83" i="2"/>
  <c r="B98" i="2"/>
  <c r="B82" i="2"/>
  <c r="B66" i="2"/>
  <c r="B50" i="2"/>
  <c r="B34" i="2"/>
  <c r="B18" i="2"/>
  <c r="B11" i="2"/>
  <c r="B58" i="2"/>
  <c r="B89" i="2"/>
  <c r="B72" i="2"/>
  <c r="B8" i="2"/>
  <c r="B55" i="2"/>
  <c r="B7" i="2"/>
  <c r="B68" i="2"/>
  <c r="B20" i="2"/>
  <c r="B67" i="2"/>
  <c r="B19" i="2"/>
  <c r="B97" i="2"/>
  <c r="B81" i="2"/>
  <c r="B65" i="2"/>
  <c r="B49" i="2"/>
  <c r="B33" i="2"/>
  <c r="B17" i="2"/>
  <c r="B26" i="2"/>
  <c r="B57" i="2"/>
  <c r="B88" i="2"/>
  <c r="B39" i="2"/>
  <c r="B100" i="2"/>
  <c r="B4" i="2"/>
  <c r="B35" i="2"/>
  <c r="B96" i="2"/>
  <c r="B80" i="2"/>
  <c r="B64" i="2"/>
  <c r="B48" i="2"/>
  <c r="B32" i="2"/>
  <c r="B16" i="2"/>
  <c r="B42" i="2"/>
  <c r="B41" i="2"/>
  <c r="B40" i="2"/>
  <c r="B71" i="2"/>
  <c r="B52" i="2"/>
  <c r="B99" i="2"/>
  <c r="B51" i="2"/>
  <c r="B95" i="2"/>
  <c r="B79" i="2"/>
  <c r="B63" i="2"/>
  <c r="B47" i="2"/>
  <c r="B31" i="2"/>
  <c r="B15" i="2"/>
  <c r="E7" i="3"/>
  <c r="B7" i="3"/>
  <c r="E47" i="3"/>
  <c r="E48" i="3" s="1"/>
  <c r="B47" i="3"/>
  <c r="E39" i="3"/>
  <c r="B39" i="3"/>
  <c r="E31" i="3"/>
  <c r="E32" i="3" s="1"/>
  <c r="B31" i="3"/>
  <c r="E23" i="3"/>
  <c r="B23" i="3"/>
  <c r="E15" i="3"/>
  <c r="B15" i="3"/>
  <c r="E16" i="3"/>
  <c r="B8" i="3"/>
  <c r="B16" i="3"/>
  <c r="B24" i="3"/>
  <c r="B25" i="3" s="1"/>
  <c r="O15" i="3" s="1"/>
  <c r="B32" i="3"/>
  <c r="B40" i="3"/>
  <c r="B48" i="3"/>
  <c r="E8" i="3"/>
  <c r="E24" i="3"/>
  <c r="E40" i="3"/>
  <c r="Q15" i="3"/>
  <c r="A24" i="3"/>
  <c r="A23" i="3"/>
  <c r="A22" i="3"/>
  <c r="R15" i="3"/>
  <c r="D23" i="3"/>
  <c r="D24" i="3" s="1"/>
  <c r="D22" i="3"/>
  <c r="A7" i="3"/>
  <c r="A6" i="3"/>
  <c r="A14" i="3"/>
  <c r="A15" i="3"/>
  <c r="A31" i="3"/>
  <c r="A30" i="3"/>
  <c r="A38" i="3"/>
  <c r="D7" i="3"/>
  <c r="D6" i="3"/>
  <c r="D15" i="3"/>
  <c r="D14" i="3"/>
  <c r="D31" i="3"/>
  <c r="D30" i="3"/>
  <c r="D39" i="3"/>
  <c r="D38" i="3"/>
  <c r="D47" i="3"/>
  <c r="D46" i="3"/>
  <c r="A47" i="3"/>
  <c r="A46" i="3"/>
  <c r="A39" i="3"/>
  <c r="P17" i="4"/>
  <c r="I27" i="1"/>
  <c r="I28" i="1"/>
  <c r="I29" i="1"/>
  <c r="I74" i="1" s="1"/>
  <c r="I30" i="1"/>
  <c r="I31" i="1"/>
  <c r="I36" i="1"/>
  <c r="I38" i="1"/>
  <c r="I40" i="1"/>
  <c r="I42" i="1"/>
  <c r="G70" i="1"/>
  <c r="I72" i="1" s="1"/>
  <c r="G71" i="1"/>
  <c r="G24" i="1"/>
  <c r="G25" i="1"/>
  <c r="I85" i="1"/>
  <c r="I88" i="1"/>
  <c r="I89" i="1"/>
  <c r="L83" i="1"/>
  <c r="M83" i="1" s="1"/>
  <c r="L84" i="1"/>
  <c r="L85" i="1"/>
  <c r="M85" i="1" s="1"/>
  <c r="L86" i="1"/>
  <c r="L87" i="1"/>
  <c r="M87" i="1" s="1"/>
  <c r="L88" i="1"/>
  <c r="M88" i="1" s="1"/>
  <c r="L89" i="1"/>
  <c r="M89" i="1" s="1"/>
  <c r="L90" i="1"/>
  <c r="L91" i="1"/>
  <c r="M91" i="1" s="1"/>
  <c r="L92" i="1"/>
  <c r="L93" i="1"/>
  <c r="L94" i="1"/>
  <c r="L95" i="1"/>
  <c r="L96" i="1"/>
  <c r="L97" i="1"/>
  <c r="L98" i="1"/>
  <c r="L99" i="1"/>
  <c r="M99" i="1" s="1"/>
  <c r="L100" i="1"/>
  <c r="M100" i="1" s="1"/>
  <c r="L101" i="1"/>
  <c r="L102" i="1"/>
  <c r="L103" i="1"/>
  <c r="L104" i="1"/>
  <c r="L105" i="1"/>
  <c r="L106" i="1"/>
  <c r="L107" i="1"/>
  <c r="L108" i="1"/>
  <c r="L109" i="1"/>
  <c r="J84" i="1"/>
  <c r="J85" i="1"/>
  <c r="K85" i="1" s="1"/>
  <c r="J86" i="1"/>
  <c r="K86" i="1" s="1"/>
  <c r="J87" i="1"/>
  <c r="J88" i="1"/>
  <c r="K88" i="1" s="1"/>
  <c r="J89" i="1"/>
  <c r="K89" i="1" s="1"/>
  <c r="J90" i="1"/>
  <c r="J91" i="1"/>
  <c r="J92" i="1"/>
  <c r="J93" i="1"/>
  <c r="J94" i="1"/>
  <c r="J95" i="1"/>
  <c r="J96" i="1"/>
  <c r="J97" i="1"/>
  <c r="J98" i="1"/>
  <c r="J99" i="1"/>
  <c r="J100" i="1"/>
  <c r="J101" i="1"/>
  <c r="J102" i="1"/>
  <c r="J103" i="1"/>
  <c r="J104" i="1"/>
  <c r="J105" i="1"/>
  <c r="J106" i="1"/>
  <c r="J107" i="1"/>
  <c r="J108" i="1"/>
  <c r="J109" i="1"/>
  <c r="J83" i="1"/>
  <c r="G109" i="1"/>
  <c r="H109" i="1" s="1"/>
  <c r="E109" i="1"/>
  <c r="G108" i="1"/>
  <c r="H108" i="1" s="1"/>
  <c r="E108" i="1"/>
  <c r="G107" i="1"/>
  <c r="H107" i="1" s="1"/>
  <c r="E107" i="1"/>
  <c r="G105" i="1"/>
  <c r="H105" i="1" s="1"/>
  <c r="E105" i="1"/>
  <c r="G106" i="1"/>
  <c r="H106" i="1" s="1"/>
  <c r="E106" i="1"/>
  <c r="F106" i="1" s="1"/>
  <c r="G104" i="1"/>
  <c r="E104" i="1"/>
  <c r="G84" i="1"/>
  <c r="H84" i="1" s="1"/>
  <c r="G86" i="1"/>
  <c r="H86" i="1" s="1"/>
  <c r="F86" i="1" s="1"/>
  <c r="G90" i="1"/>
  <c r="H90" i="1" s="1"/>
  <c r="G92" i="1"/>
  <c r="H92" i="1" s="1"/>
  <c r="G93" i="1"/>
  <c r="H93" i="1" s="1"/>
  <c r="G94" i="1"/>
  <c r="G95" i="1"/>
  <c r="G96" i="1"/>
  <c r="G97" i="1"/>
  <c r="G98" i="1"/>
  <c r="G101" i="1"/>
  <c r="G102" i="1"/>
  <c r="H102" i="1" s="1"/>
  <c r="G103" i="1"/>
  <c r="H103" i="1" s="1"/>
  <c r="K81" i="1"/>
  <c r="E103" i="1"/>
  <c r="E101" i="1"/>
  <c r="E102" i="1"/>
  <c r="E100" i="1"/>
  <c r="E99" i="1"/>
  <c r="E98" i="1"/>
  <c r="E97" i="1"/>
  <c r="E96" i="1"/>
  <c r="E95" i="1"/>
  <c r="E94" i="1"/>
  <c r="E93" i="1"/>
  <c r="E92" i="1"/>
  <c r="E91" i="1"/>
  <c r="E90" i="1"/>
  <c r="E83" i="1"/>
  <c r="I83" i="1" s="1"/>
  <c r="E87" i="1"/>
  <c r="E84" i="1"/>
  <c r="D42" i="1"/>
  <c r="D43" i="1" s="1"/>
  <c r="E30" i="1"/>
  <c r="E31" i="1" s="1"/>
  <c r="E32" i="1" s="1"/>
  <c r="E33" i="1" s="1"/>
  <c r="E35" i="1" s="1"/>
  <c r="E37" i="1" s="1"/>
  <c r="I39" i="1" s="1"/>
  <c r="F4" i="2" l="1"/>
  <c r="E25" i="3"/>
  <c r="P15" i="3" s="1"/>
  <c r="A16" i="3"/>
  <c r="Q16" i="3" s="1"/>
  <c r="D16" i="3"/>
  <c r="R16" i="3" s="1"/>
  <c r="D32" i="3"/>
  <c r="R14" i="3" s="1"/>
  <c r="E17" i="3"/>
  <c r="P16" i="3" s="1"/>
  <c r="A40" i="3"/>
  <c r="D48" i="3"/>
  <c r="A48" i="3"/>
  <c r="Q12" i="3" s="1"/>
  <c r="A32" i="3"/>
  <c r="D40" i="3"/>
  <c r="D8" i="3"/>
  <c r="E33" i="3"/>
  <c r="A8" i="3"/>
  <c r="I104" i="1"/>
  <c r="F92" i="1"/>
  <c r="I37" i="1"/>
  <c r="I35" i="1"/>
  <c r="I34" i="1"/>
  <c r="I33" i="1"/>
  <c r="K103" i="1"/>
  <c r="F105" i="1"/>
  <c r="K101" i="1"/>
  <c r="M101" i="1"/>
  <c r="I93" i="1"/>
  <c r="I97" i="1"/>
  <c r="I96" i="1"/>
  <c r="I109" i="1"/>
  <c r="F102" i="1"/>
  <c r="F103" i="1"/>
  <c r="I101" i="1"/>
  <c r="I94" i="1"/>
  <c r="I108" i="1"/>
  <c r="I106" i="1"/>
  <c r="I105" i="1"/>
  <c r="F109" i="1"/>
  <c r="M105" i="1"/>
  <c r="M104" i="1"/>
  <c r="K83" i="1"/>
  <c r="K105" i="1"/>
  <c r="K104" i="1"/>
  <c r="F107" i="1"/>
  <c r="I95" i="1"/>
  <c r="M109" i="1"/>
  <c r="M93" i="1"/>
  <c r="F108" i="1"/>
  <c r="M94" i="1"/>
  <c r="M108" i="1"/>
  <c r="M92" i="1"/>
  <c r="I98" i="1"/>
  <c r="F90" i="1"/>
  <c r="K93" i="1"/>
  <c r="F84" i="1"/>
  <c r="K108" i="1"/>
  <c r="K92" i="1"/>
  <c r="K100" i="1"/>
  <c r="K94" i="1"/>
  <c r="K109" i="1"/>
  <c r="K91" i="1"/>
  <c r="F93" i="1"/>
  <c r="K87" i="1"/>
  <c r="K97" i="1"/>
  <c r="M97" i="1"/>
  <c r="K96" i="1"/>
  <c r="M96" i="1"/>
  <c r="I92" i="1"/>
  <c r="K84" i="1"/>
  <c r="K95" i="1"/>
  <c r="M90" i="1"/>
  <c r="M95" i="1"/>
  <c r="I107" i="1"/>
  <c r="I91" i="1"/>
  <c r="I90" i="1"/>
  <c r="K107" i="1"/>
  <c r="M107" i="1"/>
  <c r="I103" i="1"/>
  <c r="I87" i="1"/>
  <c r="K106" i="1"/>
  <c r="K90" i="1"/>
  <c r="M106" i="1"/>
  <c r="I102" i="1"/>
  <c r="I86" i="1"/>
  <c r="I100" i="1"/>
  <c r="I84" i="1"/>
  <c r="M103" i="1"/>
  <c r="I99" i="1"/>
  <c r="K102" i="1"/>
  <c r="M86" i="1"/>
  <c r="K99" i="1"/>
  <c r="M84" i="1"/>
  <c r="K98" i="1"/>
  <c r="M102" i="1"/>
  <c r="M98" i="1"/>
  <c r="H85" i="1"/>
  <c r="F85" i="1" s="1"/>
  <c r="H100" i="1"/>
  <c r="F100" i="1" s="1"/>
  <c r="H101" i="1"/>
  <c r="F101" i="1" s="1"/>
  <c r="H104" i="1"/>
  <c r="F104" i="1" s="1"/>
  <c r="H83" i="1"/>
  <c r="F83" i="1" s="1"/>
  <c r="H95" i="1"/>
  <c r="F95" i="1" s="1"/>
  <c r="H96" i="1"/>
  <c r="F96" i="1" s="1"/>
  <c r="H88" i="1"/>
  <c r="F88" i="1" s="1"/>
  <c r="H89" i="1"/>
  <c r="F89" i="1" s="1"/>
  <c r="H87" i="1"/>
  <c r="F87" i="1" s="1"/>
  <c r="H94" i="1"/>
  <c r="F94" i="1" s="1"/>
  <c r="H91" i="1"/>
  <c r="F91" i="1" s="1"/>
  <c r="H97" i="1"/>
  <c r="F97" i="1" s="1"/>
  <c r="H98" i="1"/>
  <c r="F98" i="1" s="1"/>
  <c r="H99" i="1"/>
  <c r="F99" i="1" s="1"/>
  <c r="D44" i="1"/>
  <c r="D45" i="1" s="1"/>
  <c r="D46" i="1" s="1"/>
  <c r="D47" i="1" s="1"/>
  <c r="D48" i="1" s="1"/>
  <c r="D49" i="1" s="1"/>
  <c r="D50" i="1" s="1"/>
  <c r="D51" i="1" s="1"/>
  <c r="D52" i="1" s="1"/>
  <c r="D53" i="1" s="1"/>
  <c r="D54" i="1" s="1"/>
  <c r="D55" i="1" s="1"/>
  <c r="D56" i="1" s="1"/>
  <c r="D57" i="1" s="1"/>
  <c r="D58" i="1" s="1"/>
  <c r="D59" i="1" s="1"/>
  <c r="D60" i="1" s="1"/>
  <c r="D61" i="1" s="1"/>
  <c r="D62" i="1" s="1"/>
  <c r="D63" i="1" s="1"/>
  <c r="D64" i="1" s="1"/>
  <c r="D65" i="1" s="1"/>
  <c r="D66" i="1" s="1"/>
  <c r="D67" i="1" s="1"/>
  <c r="D68" i="1" s="1"/>
  <c r="D69" i="1" s="1"/>
  <c r="D70" i="1" s="1"/>
  <c r="E39" i="1"/>
  <c r="I41" i="1" s="1"/>
  <c r="F5" i="2" l="1"/>
  <c r="F6" i="2" s="1"/>
  <c r="F7" i="2" s="1"/>
  <c r="F8" i="2" s="1"/>
  <c r="F9" i="2" s="1"/>
  <c r="F10" i="2" s="1"/>
  <c r="F11" i="2" s="1"/>
  <c r="F12" i="2" s="1"/>
  <c r="F13" i="2" s="1"/>
  <c r="F14" i="2" s="1"/>
  <c r="F15" i="2" s="1"/>
  <c r="F16" i="2" s="1"/>
  <c r="F17" i="2" s="1"/>
  <c r="F18" i="2" s="1"/>
  <c r="F19" i="2" s="1"/>
  <c r="F20" i="2" s="1"/>
  <c r="F21" i="2" s="1"/>
  <c r="F22" i="2" s="1"/>
  <c r="F23" i="2" s="1"/>
  <c r="F24" i="2" s="1"/>
  <c r="F25" i="2" s="1"/>
  <c r="F26" i="2" s="1"/>
  <c r="F27" i="2" s="1"/>
  <c r="F28" i="2" s="1"/>
  <c r="F29" i="2" s="1"/>
  <c r="F30" i="2" s="1"/>
  <c r="F31" i="2" s="1"/>
  <c r="F32" i="2" s="1"/>
  <c r="F33" i="2" s="1"/>
  <c r="F34" i="2" s="1"/>
  <c r="F35" i="2" s="1"/>
  <c r="F36" i="2" s="1"/>
  <c r="F37" i="2" s="1"/>
  <c r="F38" i="2" s="1"/>
  <c r="F39" i="2" s="1"/>
  <c r="F40" i="2" s="1"/>
  <c r="F41" i="2" s="1"/>
  <c r="F42" i="2" s="1"/>
  <c r="F43" i="2" s="1"/>
  <c r="F44" i="2" s="1"/>
  <c r="F45" i="2" s="1"/>
  <c r="F46" i="2" s="1"/>
  <c r="F47" i="2" s="1"/>
  <c r="F48" i="2" s="1"/>
  <c r="F49" i="2" s="1"/>
  <c r="F50" i="2" s="1"/>
  <c r="F51" i="2" s="1"/>
  <c r="F52" i="2" s="1"/>
  <c r="F53" i="2" s="1"/>
  <c r="F54" i="2" s="1"/>
  <c r="F55" i="2" s="1"/>
  <c r="F56" i="2" s="1"/>
  <c r="F57" i="2" s="1"/>
  <c r="F58" i="2" s="1"/>
  <c r="F59" i="2" s="1"/>
  <c r="F60" i="2" s="1"/>
  <c r="F61" i="2" s="1"/>
  <c r="F62" i="2" s="1"/>
  <c r="F63" i="2" s="1"/>
  <c r="F64" i="2" s="1"/>
  <c r="F65" i="2" s="1"/>
  <c r="F66" i="2" s="1"/>
  <c r="F67" i="2" s="1"/>
  <c r="F68" i="2" s="1"/>
  <c r="F69" i="2" s="1"/>
  <c r="F70" i="2" s="1"/>
  <c r="F71" i="2" s="1"/>
  <c r="F72" i="2" s="1"/>
  <c r="F73" i="2" s="1"/>
  <c r="F74" i="2" s="1"/>
  <c r="F75" i="2" s="1"/>
  <c r="F76" i="2" s="1"/>
  <c r="F77" i="2" s="1"/>
  <c r="F78" i="2" s="1"/>
  <c r="F79" i="2" s="1"/>
  <c r="F80" i="2" s="1"/>
  <c r="F81" i="2" s="1"/>
  <c r="F82" i="2" s="1"/>
  <c r="F83" i="2" s="1"/>
  <c r="F84" i="2" s="1"/>
  <c r="F85" i="2" s="1"/>
  <c r="F86" i="2" s="1"/>
  <c r="F87" i="2" s="1"/>
  <c r="F88" i="2" s="1"/>
  <c r="F89" i="2" s="1"/>
  <c r="F90" i="2" s="1"/>
  <c r="F91" i="2" s="1"/>
  <c r="F92" i="2" s="1"/>
  <c r="F93" i="2" s="1"/>
  <c r="F94" i="2" s="1"/>
  <c r="F95" i="2" s="1"/>
  <c r="F96" i="2" s="1"/>
  <c r="F97" i="2" s="1"/>
  <c r="F98" i="2" s="1"/>
  <c r="F99" i="2" s="1"/>
  <c r="F100" i="2" s="1"/>
  <c r="F101" i="2" s="1"/>
  <c r="F102" i="2" s="1"/>
  <c r="F103" i="2" s="1"/>
  <c r="G4" i="2"/>
  <c r="G5" i="2" s="1"/>
  <c r="G6" i="2" s="1"/>
  <c r="G7" i="2" s="1"/>
  <c r="G8" i="2" s="1"/>
  <c r="G9" i="2" s="1"/>
  <c r="G10" i="2" s="1"/>
  <c r="G11" i="2" s="1"/>
  <c r="G12" i="2" s="1"/>
  <c r="G13" i="2" s="1"/>
  <c r="G14" i="2" s="1"/>
  <c r="G15" i="2" s="1"/>
  <c r="G16" i="2" s="1"/>
  <c r="G17" i="2" s="1"/>
  <c r="G18" i="2" s="1"/>
  <c r="G19" i="2" s="1"/>
  <c r="G20" i="2" s="1"/>
  <c r="G21" i="2" s="1"/>
  <c r="G22" i="2" s="1"/>
  <c r="G23" i="2" s="1"/>
  <c r="G24" i="2" s="1"/>
  <c r="G25" i="2" s="1"/>
  <c r="G26" i="2" s="1"/>
  <c r="G27" i="2" s="1"/>
  <c r="G28" i="2" s="1"/>
  <c r="G29" i="2" s="1"/>
  <c r="G30" i="2" s="1"/>
  <c r="G31" i="2" s="1"/>
  <c r="G32" i="2" s="1"/>
  <c r="G33" i="2" s="1"/>
  <c r="G34" i="2" s="1"/>
  <c r="G35" i="2" s="1"/>
  <c r="G36" i="2" s="1"/>
  <c r="G37" i="2" s="1"/>
  <c r="G38" i="2" s="1"/>
  <c r="G39" i="2" s="1"/>
  <c r="G40" i="2" s="1"/>
  <c r="G41" i="2" s="1"/>
  <c r="G42" i="2" s="1"/>
  <c r="G43" i="2" s="1"/>
  <c r="G44" i="2" s="1"/>
  <c r="G45" i="2" s="1"/>
  <c r="G46" i="2" s="1"/>
  <c r="G47" i="2" s="1"/>
  <c r="G48" i="2" s="1"/>
  <c r="G49" i="2" s="1"/>
  <c r="G50" i="2" s="1"/>
  <c r="G51" i="2" s="1"/>
  <c r="G52" i="2" s="1"/>
  <c r="G53" i="2" s="1"/>
  <c r="G54" i="2" s="1"/>
  <c r="G55" i="2" s="1"/>
  <c r="G56" i="2" s="1"/>
  <c r="G57" i="2" s="1"/>
  <c r="G58" i="2" s="1"/>
  <c r="G59" i="2" s="1"/>
  <c r="G60" i="2" s="1"/>
  <c r="G61" i="2" s="1"/>
  <c r="G62" i="2" s="1"/>
  <c r="G63" i="2" s="1"/>
  <c r="G64" i="2" s="1"/>
  <c r="G65" i="2" s="1"/>
  <c r="G66" i="2" s="1"/>
  <c r="G67" i="2" s="1"/>
  <c r="G68" i="2" s="1"/>
  <c r="G69" i="2" s="1"/>
  <c r="G70" i="2" s="1"/>
  <c r="G71" i="2" s="1"/>
  <c r="G72" i="2" s="1"/>
  <c r="G73" i="2" s="1"/>
  <c r="G74" i="2" s="1"/>
  <c r="G75" i="2" s="1"/>
  <c r="G76" i="2" s="1"/>
  <c r="G77" i="2" s="1"/>
  <c r="G78" i="2" s="1"/>
  <c r="G79" i="2" s="1"/>
  <c r="G80" i="2" s="1"/>
  <c r="G81" i="2" s="1"/>
  <c r="G82" i="2" s="1"/>
  <c r="G83" i="2" s="1"/>
  <c r="G84" i="2" s="1"/>
  <c r="G85" i="2" s="1"/>
  <c r="G86" i="2" s="1"/>
  <c r="G87" i="2" s="1"/>
  <c r="G88" i="2" s="1"/>
  <c r="G89" i="2" s="1"/>
  <c r="G90" i="2" s="1"/>
  <c r="G91" i="2" s="1"/>
  <c r="G92" i="2" s="1"/>
  <c r="G93" i="2" s="1"/>
  <c r="G94" i="2" s="1"/>
  <c r="G95" i="2" s="1"/>
  <c r="G96" i="2" s="1"/>
  <c r="G97" i="2" s="1"/>
  <c r="G98" i="2" s="1"/>
  <c r="G99" i="2" s="1"/>
  <c r="G100" i="2" s="1"/>
  <c r="G101" i="2" s="1"/>
  <c r="G102" i="2" s="1"/>
  <c r="G103" i="2" s="1"/>
  <c r="B17" i="3"/>
  <c r="O16" i="3" s="1"/>
  <c r="B49" i="3"/>
  <c r="O12" i="3" s="1"/>
  <c r="E9" i="3"/>
  <c r="P17" i="3" s="1"/>
  <c r="R17" i="3"/>
  <c r="E41" i="3"/>
  <c r="P13" i="3" s="1"/>
  <c r="R13" i="3"/>
  <c r="E49" i="3"/>
  <c r="P12" i="3" s="1"/>
  <c r="R12" i="3"/>
  <c r="B41" i="3"/>
  <c r="O13" i="3" s="1"/>
  <c r="Q13" i="3"/>
  <c r="B33" i="3"/>
  <c r="O14" i="3" s="1"/>
  <c r="Q14" i="3"/>
  <c r="B9" i="3"/>
  <c r="O17" i="3" s="1"/>
  <c r="Q17" i="3"/>
  <c r="P14" i="3"/>
  <c r="M110" i="1"/>
  <c r="K110" i="1"/>
  <c r="C63" i="1"/>
  <c r="E41" i="1"/>
  <c r="C64" i="1"/>
  <c r="I32" i="1" l="1"/>
  <c r="E42" i="1"/>
  <c r="F41" i="1"/>
  <c r="G41" i="1" s="1"/>
  <c r="I43" i="1" s="1"/>
  <c r="E43" i="1" l="1"/>
  <c r="F42" i="1"/>
  <c r="G42" i="1" s="1"/>
  <c r="I44" i="1" s="1"/>
  <c r="E44" i="1" l="1"/>
  <c r="F43" i="1"/>
  <c r="G43" i="1" s="1"/>
  <c r="I45" i="1" s="1"/>
  <c r="E45" i="1" l="1"/>
  <c r="F44" i="1"/>
  <c r="G44" i="1" s="1"/>
  <c r="I46" i="1" s="1"/>
  <c r="E46" i="1" l="1"/>
  <c r="F45" i="1"/>
  <c r="G45" i="1" s="1"/>
  <c r="I47" i="1" s="1"/>
  <c r="E47" i="1" l="1"/>
  <c r="F46" i="1"/>
  <c r="G46" i="1" s="1"/>
  <c r="I48" i="1" s="1"/>
  <c r="E48" i="1" l="1"/>
  <c r="F47" i="1"/>
  <c r="G47" i="1" s="1"/>
  <c r="I49" i="1" s="1"/>
  <c r="E49" i="1" l="1"/>
  <c r="F48" i="1"/>
  <c r="G48" i="1" s="1"/>
  <c r="I50" i="1" s="1"/>
  <c r="E50" i="1" l="1"/>
  <c r="F49" i="1"/>
  <c r="G49" i="1" s="1"/>
  <c r="I51" i="1" s="1"/>
  <c r="E51" i="1" l="1"/>
  <c r="F50" i="1"/>
  <c r="G50" i="1" s="1"/>
  <c r="I52" i="1" s="1"/>
  <c r="E52" i="1" l="1"/>
  <c r="F51" i="1"/>
  <c r="G51" i="1" s="1"/>
  <c r="I53" i="1" s="1"/>
  <c r="E53" i="1" l="1"/>
  <c r="F52" i="1"/>
  <c r="G52" i="1" s="1"/>
  <c r="I54" i="1" s="1"/>
  <c r="F53" i="1" l="1"/>
  <c r="G53" i="1" s="1"/>
  <c r="I55" i="1" s="1"/>
  <c r="E54" i="1"/>
  <c r="E55" i="1" l="1"/>
  <c r="F54" i="1"/>
  <c r="G54" i="1" s="1"/>
  <c r="I56" i="1" s="1"/>
  <c r="E56" i="1" l="1"/>
  <c r="F55" i="1"/>
  <c r="G55" i="1" s="1"/>
  <c r="I57" i="1" s="1"/>
  <c r="E57" i="1" l="1"/>
  <c r="F56" i="1"/>
  <c r="G56" i="1" s="1"/>
  <c r="I58" i="1" s="1"/>
  <c r="E58" i="1" l="1"/>
  <c r="F57" i="1"/>
  <c r="G57" i="1" s="1"/>
  <c r="I59" i="1" s="1"/>
  <c r="E59" i="1" l="1"/>
  <c r="F58" i="1"/>
  <c r="G58" i="1" s="1"/>
  <c r="I60" i="1" s="1"/>
  <c r="E60" i="1" l="1"/>
  <c r="F59" i="1"/>
  <c r="G59" i="1" s="1"/>
  <c r="I61" i="1" s="1"/>
  <c r="E61" i="1" l="1"/>
  <c r="F60" i="1"/>
  <c r="G60" i="1" s="1"/>
  <c r="I62" i="1" s="1"/>
  <c r="E62" i="1" l="1"/>
  <c r="F61" i="1"/>
  <c r="G61" i="1" s="1"/>
  <c r="I63" i="1" s="1"/>
  <c r="E63" i="1" l="1"/>
  <c r="F62" i="1"/>
  <c r="G62" i="1" s="1"/>
  <c r="I64" i="1" s="1"/>
  <c r="E64" i="1" l="1"/>
  <c r="F63" i="1"/>
  <c r="G63" i="1" s="1"/>
  <c r="I65" i="1" s="1"/>
  <c r="E65" i="1" l="1"/>
  <c r="F64" i="1"/>
  <c r="G64" i="1" s="1"/>
  <c r="I66" i="1" s="1"/>
  <c r="E66" i="1" l="1"/>
  <c r="F65" i="1"/>
  <c r="G65" i="1" s="1"/>
  <c r="I67" i="1" s="1"/>
  <c r="E67" i="1" l="1"/>
  <c r="F66" i="1"/>
  <c r="G66" i="1" s="1"/>
  <c r="I68" i="1" s="1"/>
  <c r="E68" i="1" l="1"/>
  <c r="F67" i="1"/>
  <c r="G67" i="1" s="1"/>
  <c r="I69" i="1" s="1"/>
  <c r="E69" i="1" l="1"/>
  <c r="F68" i="1"/>
  <c r="G68" i="1" s="1"/>
  <c r="I70" i="1" s="1"/>
  <c r="F69" i="1" l="1"/>
  <c r="G69" i="1" s="1"/>
  <c r="I71" i="1" s="1"/>
</calcChain>
</file>

<file path=xl/sharedStrings.xml><?xml version="1.0" encoding="utf-8"?>
<sst xmlns="http://schemas.openxmlformats.org/spreadsheetml/2006/main" count="87" uniqueCount="79">
  <si>
    <t>y=sqrt(r^2-x^2)</t>
  </si>
  <si>
    <t>1.8592e-02+6.7883e-03i</t>
  </si>
  <si>
    <t>1.8161e-02+7.9163e-03i</t>
  </si>
  <si>
    <t>z(nm)</t>
  </si>
  <si>
    <t>real</t>
  </si>
  <si>
    <t>imag</t>
  </si>
  <si>
    <t>I</t>
  </si>
  <si>
    <t>1.8145e-02+7.9782e-03i</t>
  </si>
  <si>
    <t>1.8280e-02+7.6151e-03i</t>
  </si>
  <si>
    <t>1.8414e-02+7.2086e-03i</t>
  </si>
  <si>
    <t>1.8695e-02+6.4822e-03i</t>
  </si>
  <si>
    <t>1.8803e-02+6.1538e-03i</t>
  </si>
  <si>
    <t>1.8874e-02+5.8639e-03i</t>
  </si>
  <si>
    <t>1.8977e-02+5.5442e-03i</t>
  </si>
  <si>
    <t>1.9045e-02+5.2501e-03i</t>
  </si>
  <si>
    <t>1.9109e-02+4.9251e-03i</t>
  </si>
  <si>
    <t>1.9180e-02+4.6353e-03i</t>
  </si>
  <si>
    <t>1.9259e-02+4.3215e-03i</t>
  </si>
  <si>
    <t>1.9298e-02+4.0198e-03i</t>
  </si>
  <si>
    <t>1.9366e-02+3.6923e-03i</t>
  </si>
  <si>
    <t>1.9422e-02+3.3858e-03i</t>
  </si>
  <si>
    <t>1.9697e-02+2.0920e-04i</t>
  </si>
  <si>
    <t>1.9461e-02-2.9801e-03i</t>
  </si>
  <si>
    <t>1.7580e-02-9.0060e-03i</t>
  </si>
  <si>
    <t>1.8742e-02-6.0729e-03i</t>
  </si>
  <si>
    <t>1.6851e-02-1.0343e-02i</t>
  </si>
  <si>
    <t>rotate</t>
  </si>
  <si>
    <t>theta</t>
  </si>
  <si>
    <t>1.0425e-02-1.6887e-02i</t>
  </si>
  <si>
    <t>shift</t>
  </si>
  <si>
    <t>mult</t>
  </si>
  <si>
    <t>-6.8927e-03-1.8765e-02i</t>
  </si>
  <si>
    <t>1.9038e-03-1.9947e-02i</t>
  </si>
  <si>
    <t>-1.1979e-02-1.5788e-02i</t>
  </si>
  <si>
    <t>-1.8603e-02-3.1088e-03i</t>
  </si>
  <si>
    <t>-1.4663e-02+1.0468e-02i</t>
  </si>
  <si>
    <t>error</t>
  </si>
  <si>
    <t>plus</t>
  </si>
  <si>
    <t>multout</t>
  </si>
  <si>
    <t>sin phase</t>
  </si>
  <si>
    <t>sin real</t>
  </si>
  <si>
    <t>phase</t>
  </si>
  <si>
    <t>9.3867e-03-1.1716e-02i</t>
  </si>
  <si>
    <t>0.0 3000]</t>
  </si>
  <si>
    <t>-1.2300e-03-1.0015e-02i</t>
  </si>
  <si>
    <t>2nm</t>
  </si>
  <si>
    <t>Graphene 50 nm</t>
  </si>
  <si>
    <t>Silicon Nitride 25 nm</t>
  </si>
  <si>
    <t>Graphene 100 nm</t>
  </si>
  <si>
    <t>Silicon Nitride 100 nm</t>
  </si>
  <si>
    <t>Silicon Nitride 50 nm</t>
  </si>
  <si>
    <t>Graphene 25 nm</t>
  </si>
  <si>
    <t>G</t>
  </si>
  <si>
    <t>SN</t>
  </si>
  <si>
    <t>G 10 nm</t>
  </si>
  <si>
    <t>-4.0094e-04-3.1790e-03i</t>
  </si>
  <si>
    <t>-4.0004e-04-3.1468e-03i</t>
  </si>
  <si>
    <t>SN 10 nm</t>
  </si>
  <si>
    <t>-3.9876e-04-3.1462e-03i</t>
  </si>
  <si>
    <t>-3.9778e-04-3.1467e-03i</t>
  </si>
  <si>
    <t>-4.1328e-04-3.1426e-03i</t>
  </si>
  <si>
    <t>SN 75 nm</t>
  </si>
  <si>
    <t>-4.3135e-04-3.1474e-03i</t>
  </si>
  <si>
    <t>G 75 nm</t>
  </si>
  <si>
    <t>-4.0102e-04-3.1792e-03i</t>
  </si>
  <si>
    <t>-4.0372e-04-3.1821e-03i</t>
  </si>
  <si>
    <t>-4.0598e-04-3.1844e-03i</t>
  </si>
  <si>
    <t>i</t>
  </si>
  <si>
    <t>-4.3048e-04-3.1889e-03i</t>
  </si>
  <si>
    <t>-4.0939e-04-3.1446e-03i</t>
  </si>
  <si>
    <t>SN 65 nm</t>
  </si>
  <si>
    <t>-4.0378e-04-3.1804e-03i</t>
  </si>
  <si>
    <t>G 65 nm</t>
  </si>
  <si>
    <t>A</t>
  </si>
  <si>
    <t>omega</t>
  </si>
  <si>
    <t>n</t>
  </si>
  <si>
    <t>E</t>
  </si>
  <si>
    <t>int real</t>
  </si>
  <si>
    <t>int imag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</si>
</sst>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7">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2">
    <xf numFmtId="0" fontId="0" fillId="0" borderId="0" xfId="0"/>
    <xf numFmtId="11" fontId="0" fillId="0" borderId="0" xfId="0" applyNumberFormat="1"/>
    <xf numFmtId="2" fontId="0" fillId="0" borderId="0" xfId="0" applyNumberFormat="1"/>
    <xf numFmtId="0" fontId="0" fillId="0" borderId="0" xfId="0" quotePrefix="1"/>
    <xf numFmtId="49" fontId="0" fillId="0" borderId="0" xfId="0" applyNumberFormat="1"/>
    <xf numFmtId="0" fontId="0" fillId="0" borderId="3" xfId="0" applyBorder="1"/>
    <xf numFmtId="0" fontId="0" fillId="0" borderId="4" xfId="0" applyBorder="1"/>
    <xf numFmtId="0" fontId="0" fillId="0" borderId="5" xfId="0" applyBorder="1"/>
    <xf numFmtId="0" fontId="0" fillId="0" borderId="6" xfId="0" applyBorder="1"/>
    <xf numFmtId="0" fontId="0" fillId="0" borderId="1" xfId="0" applyBorder="1" applyAlignment="1">
      <alignment horizontal="center"/>
    </xf>
    <xf numFmtId="0" fontId="0" fillId="0" borderId="2" xfId="0" applyBorder="1" applyAlignment="1">
      <alignment horizontal="center"/>
    </xf>
    <xf numFmtId="1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Sheet1!$E$24:$E$72</c:f>
              <c:numCache>
                <c:formatCode>General</c:formatCode>
                <c:ptCount val="49"/>
                <c:pt idx="0">
                  <c:v>0</c:v>
                </c:pt>
                <c:pt idx="1">
                  <c:v>102</c:v>
                </c:pt>
                <c:pt idx="2">
                  <c:v>160</c:v>
                </c:pt>
                <c:pt idx="3">
                  <c:v>208</c:v>
                </c:pt>
                <c:pt idx="4">
                  <c:v>275</c:v>
                </c:pt>
                <c:pt idx="5">
                  <c:v>300</c:v>
                </c:pt>
                <c:pt idx="6">
                  <c:v>318</c:v>
                </c:pt>
                <c:pt idx="7">
                  <c:v>333</c:v>
                </c:pt>
                <c:pt idx="8">
                  <c:v>345</c:v>
                </c:pt>
                <c:pt idx="9">
                  <c:v>354</c:v>
                </c:pt>
                <c:pt idx="10">
                  <c:v>358</c:v>
                </c:pt>
                <c:pt idx="11">
                  <c:v>360</c:v>
                </c:pt>
                <c:pt idx="12">
                  <c:v>362</c:v>
                </c:pt>
                <c:pt idx="13">
                  <c:v>363</c:v>
                </c:pt>
                <c:pt idx="14">
                  <c:v>363.5</c:v>
                </c:pt>
                <c:pt idx="15">
                  <c:v>364</c:v>
                </c:pt>
                <c:pt idx="16">
                  <c:v>363.9</c:v>
                </c:pt>
                <c:pt idx="17">
                  <c:v>363.75</c:v>
                </c:pt>
                <c:pt idx="18">
                  <c:v>363.25</c:v>
                </c:pt>
                <c:pt idx="19">
                  <c:v>362.5</c:v>
                </c:pt>
                <c:pt idx="20">
                  <c:v>361.5</c:v>
                </c:pt>
                <c:pt idx="21">
                  <c:v>360.25</c:v>
                </c:pt>
                <c:pt idx="22">
                  <c:v>358.75</c:v>
                </c:pt>
                <c:pt idx="23">
                  <c:v>357</c:v>
                </c:pt>
                <c:pt idx="24">
                  <c:v>355</c:v>
                </c:pt>
                <c:pt idx="25">
                  <c:v>352.75</c:v>
                </c:pt>
                <c:pt idx="26">
                  <c:v>350.25</c:v>
                </c:pt>
                <c:pt idx="27">
                  <c:v>347.5</c:v>
                </c:pt>
                <c:pt idx="28">
                  <c:v>344.5</c:v>
                </c:pt>
                <c:pt idx="29">
                  <c:v>341.25</c:v>
                </c:pt>
                <c:pt idx="30">
                  <c:v>337.75</c:v>
                </c:pt>
                <c:pt idx="31">
                  <c:v>334</c:v>
                </c:pt>
                <c:pt idx="32">
                  <c:v>330</c:v>
                </c:pt>
                <c:pt idx="33">
                  <c:v>325.75</c:v>
                </c:pt>
                <c:pt idx="34">
                  <c:v>321.25</c:v>
                </c:pt>
                <c:pt idx="35">
                  <c:v>316.5</c:v>
                </c:pt>
                <c:pt idx="36">
                  <c:v>311.5</c:v>
                </c:pt>
                <c:pt idx="37">
                  <c:v>306.25</c:v>
                </c:pt>
                <c:pt idx="38">
                  <c:v>300.75</c:v>
                </c:pt>
                <c:pt idx="39">
                  <c:v>295</c:v>
                </c:pt>
                <c:pt idx="40">
                  <c:v>289</c:v>
                </c:pt>
                <c:pt idx="41">
                  <c:v>282.75</c:v>
                </c:pt>
                <c:pt idx="42">
                  <c:v>276.25</c:v>
                </c:pt>
                <c:pt idx="43">
                  <c:v>269.5</c:v>
                </c:pt>
                <c:pt idx="44">
                  <c:v>262.5</c:v>
                </c:pt>
                <c:pt idx="45">
                  <c:v>255.25</c:v>
                </c:pt>
                <c:pt idx="46">
                  <c:v>250</c:v>
                </c:pt>
                <c:pt idx="47">
                  <c:v>0</c:v>
                </c:pt>
              </c:numCache>
            </c:numRef>
          </c:xVal>
          <c:yVal>
            <c:numRef>
              <c:f>Sheet1!$G$24:$G$72</c:f>
              <c:numCache>
                <c:formatCode>General</c:formatCode>
                <c:ptCount val="49"/>
                <c:pt idx="0">
                  <c:v>-1440</c:v>
                </c:pt>
                <c:pt idx="1">
                  <c:v>-1340</c:v>
                </c:pt>
                <c:pt idx="2">
                  <c:v>-1200</c:v>
                </c:pt>
                <c:pt idx="3">
                  <c:v>-1000</c:v>
                </c:pt>
                <c:pt idx="4">
                  <c:v>-500</c:v>
                </c:pt>
                <c:pt idx="5">
                  <c:v>-100</c:v>
                </c:pt>
                <c:pt idx="6">
                  <c:v>300</c:v>
                </c:pt>
                <c:pt idx="7">
                  <c:v>700</c:v>
                </c:pt>
                <c:pt idx="8">
                  <c:v>1100</c:v>
                </c:pt>
                <c:pt idx="9">
                  <c:v>1400</c:v>
                </c:pt>
                <c:pt idx="10">
                  <c:v>1700</c:v>
                </c:pt>
                <c:pt idx="11">
                  <c:v>2000</c:v>
                </c:pt>
                <c:pt idx="12">
                  <c:v>2200</c:v>
                </c:pt>
                <c:pt idx="13">
                  <c:v>2400</c:v>
                </c:pt>
                <c:pt idx="14">
                  <c:v>2600</c:v>
                </c:pt>
                <c:pt idx="15">
                  <c:v>2700</c:v>
                </c:pt>
                <c:pt idx="16">
                  <c:v>2800</c:v>
                </c:pt>
                <c:pt idx="17">
                  <c:v>2883.5049329297999</c:v>
                </c:pt>
                <c:pt idx="18">
                  <c:v>2889.1265908254309</c:v>
                </c:pt>
                <c:pt idx="19">
                  <c:v>2894.8656416148651</c:v>
                </c:pt>
                <c:pt idx="20">
                  <c:v>2900.6205747496178</c:v>
                </c:pt>
                <c:pt idx="21">
                  <c:v>2906.3546557700743</c:v>
                </c:pt>
                <c:pt idx="22">
                  <c:v>2912.0472567999323</c:v>
                </c:pt>
                <c:pt idx="23">
                  <c:v>2917.683177540101</c:v>
                </c:pt>
                <c:pt idx="24">
                  <c:v>2923.249365478146</c:v>
                </c:pt>
                <c:pt idx="25">
                  <c:v>2928.7336619458265</c:v>
                </c:pt>
                <c:pt idx="26">
                  <c:v>2934.1242359618814</c:v>
                </c:pt>
                <c:pt idx="27">
                  <c:v>2939.4092883312455</c:v>
                </c:pt>
                <c:pt idx="28">
                  <c:v>2944.5768729825854</c:v>
                </c:pt>
                <c:pt idx="29">
                  <c:v>2949.614772035628</c:v>
                </c:pt>
                <c:pt idx="30">
                  <c:v>2954.5103952915397</c:v>
                </c:pt>
                <c:pt idx="31">
                  <c:v>2959.2506891467747</c:v>
                </c:pt>
                <c:pt idx="32">
                  <c:v>2963.8220462915424</c:v>
                </c:pt>
                <c:pt idx="33">
                  <c:v>2968.2102104339015</c:v>
                </c:pt>
                <c:pt idx="34">
                  <c:v>2972.4001714937531</c:v>
                </c:pt>
                <c:pt idx="35">
                  <c:v>2976.376047003193</c:v>
                </c:pt>
                <c:pt idx="36">
                  <c:v>2980.1209451522177</c:v>
                </c:pt>
                <c:pt idx="37">
                  <c:v>2983.6168041406063</c:v>
                </c:pt>
                <c:pt idx="38">
                  <c:v>2986.84420122452</c:v>
                </c:pt>
                <c:pt idx="39">
                  <c:v>2989.7821229724177</c:v>
                </c:pt>
                <c:pt idx="40">
                  <c:v>2992.4076855613689</c:v>
                </c:pt>
                <c:pt idx="41">
                  <c:v>2994.6957901088517</c:v>
                </c:pt>
                <c:pt idx="42">
                  <c:v>2996.6186924983299</c:v>
                </c:pt>
                <c:pt idx="43">
                  <c:v>2998.145459038984</c:v>
                </c:pt>
                <c:pt idx="44">
                  <c:v>2999.2412671606289</c:v>
                </c:pt>
                <c:pt idx="45">
                  <c:v>2999.8664917680635</c:v>
                </c:pt>
                <c:pt idx="46">
                  <c:v>3000</c:v>
                </c:pt>
                <c:pt idx="47">
                  <c:v>3000</c:v>
                </c:pt>
              </c:numCache>
            </c:numRef>
          </c:yVal>
          <c:smooth val="1"/>
          <c:extLst>
            <c:ext xmlns:c16="http://schemas.microsoft.com/office/drawing/2014/chart" uri="{C3380CC4-5D6E-409C-BE32-E72D297353CC}">
              <c16:uniqueId val="{00000000-FA3D-43D8-8034-BE64B444E21C}"/>
            </c:ext>
          </c:extLst>
        </c:ser>
        <c:dLbls>
          <c:showLegendKey val="0"/>
          <c:showVal val="0"/>
          <c:showCatName val="0"/>
          <c:showSerName val="0"/>
          <c:showPercent val="0"/>
          <c:showBubbleSize val="0"/>
        </c:dLbls>
        <c:axId val="449574592"/>
        <c:axId val="449562112"/>
      </c:scatterChart>
      <c:valAx>
        <c:axId val="449574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562112"/>
        <c:crosses val="autoZero"/>
        <c:crossBetween val="midCat"/>
      </c:valAx>
      <c:valAx>
        <c:axId val="449562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5745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Intensity vs Height</a:t>
            </a:r>
            <a:r>
              <a:rPr lang="en-US" baseline="0"/>
              <a:t> (nm)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Sheet1!$D$83:$D$106</c:f>
              <c:numCache>
                <c:formatCode>General</c:formatCode>
                <c:ptCount val="24"/>
                <c:pt idx="0">
                  <c:v>2</c:v>
                </c:pt>
                <c:pt idx="1">
                  <c:v>4</c:v>
                </c:pt>
                <c:pt idx="2">
                  <c:v>14</c:v>
                </c:pt>
                <c:pt idx="3">
                  <c:v>28</c:v>
                </c:pt>
                <c:pt idx="4">
                  <c:v>42</c:v>
                </c:pt>
                <c:pt idx="5">
                  <c:v>52</c:v>
                </c:pt>
                <c:pt idx="6">
                  <c:v>62</c:v>
                </c:pt>
                <c:pt idx="7">
                  <c:v>72</c:v>
                </c:pt>
                <c:pt idx="8">
                  <c:v>82</c:v>
                </c:pt>
                <c:pt idx="9">
                  <c:v>92</c:v>
                </c:pt>
                <c:pt idx="10">
                  <c:v>102</c:v>
                </c:pt>
                <c:pt idx="11">
                  <c:v>112</c:v>
                </c:pt>
                <c:pt idx="12">
                  <c:v>122</c:v>
                </c:pt>
                <c:pt idx="13">
                  <c:v>132</c:v>
                </c:pt>
                <c:pt idx="14">
                  <c:v>142</c:v>
                </c:pt>
                <c:pt idx="15">
                  <c:v>152</c:v>
                </c:pt>
                <c:pt idx="16">
                  <c:v>252</c:v>
                </c:pt>
                <c:pt idx="17">
                  <c:v>352</c:v>
                </c:pt>
                <c:pt idx="18">
                  <c:v>452</c:v>
                </c:pt>
                <c:pt idx="19">
                  <c:v>552</c:v>
                </c:pt>
                <c:pt idx="20">
                  <c:v>602</c:v>
                </c:pt>
                <c:pt idx="21">
                  <c:v>902</c:v>
                </c:pt>
                <c:pt idx="22">
                  <c:v>1202</c:v>
                </c:pt>
                <c:pt idx="23">
                  <c:v>1502</c:v>
                </c:pt>
              </c:numCache>
            </c:numRef>
          </c:xVal>
          <c:yVal>
            <c:numRef>
              <c:f>Sheet1!$I$83:$I$106</c:f>
              <c:numCache>
                <c:formatCode>0.00E+00</c:formatCode>
                <c:ptCount val="24"/>
                <c:pt idx="0">
                  <c:v>3.9289270024000004E-4</c:v>
                </c:pt>
                <c:pt idx="1">
                  <c:v>3.9248972668999999E-4</c:v>
                </c:pt>
                <c:pt idx="2">
                  <c:v>3.9214814801000008E-4</c:v>
                </c:pt>
                <c:pt idx="3">
                  <c:v>3.9103930995999998E-4</c:v>
                </c:pt>
                <c:pt idx="4">
                  <c:v>3.9174348089000003E-4</c:v>
                </c:pt>
                <c:pt idx="5">
                  <c:v>3.9152194183999996E-4</c:v>
                </c:pt>
                <c:pt idx="6">
                  <c:v>3.9142206343999999E-4</c:v>
                </c:pt>
                <c:pt idx="7">
                  <c:v>3.9061319920999995E-4</c:v>
                </c:pt>
                <c:pt idx="8">
                  <c:v>3.8707928264000008E-4</c:v>
                </c:pt>
                <c:pt idx="9">
                  <c:v>3.9027557500999994E-4</c:v>
                </c:pt>
                <c:pt idx="10">
                  <c:v>3.8941049101000005E-4</c:v>
                </c:pt>
                <c:pt idx="11">
                  <c:v>3.8935840608999997E-4</c:v>
                </c:pt>
                <c:pt idx="12">
                  <c:v>3.8958444324999997E-4</c:v>
                </c:pt>
                <c:pt idx="13">
                  <c:v>3.8857159603999995E-4</c:v>
                </c:pt>
                <c:pt idx="14">
                  <c:v>3.8867503529000004E-4</c:v>
                </c:pt>
                <c:pt idx="15">
                  <c:v>3.8867772563999994E-4</c:v>
                </c:pt>
                <c:pt idx="16">
                  <c:v>3.8801557363999999E-4</c:v>
                </c:pt>
                <c:pt idx="17">
                  <c:v>3.8761151700999997E-4</c:v>
                </c:pt>
                <c:pt idx="18">
                  <c:v>3.8814267841000006E-4</c:v>
                </c:pt>
                <c:pt idx="19">
                  <c:v>3.9016443599999997E-4</c:v>
                </c:pt>
                <c:pt idx="20">
                  <c:v>3.9093385000000007E-4</c:v>
                </c:pt>
                <c:pt idx="21">
                  <c:v>3.9385139399999996E-4</c:v>
                </c:pt>
                <c:pt idx="22">
                  <c:v>4.0150726343999996E-4</c:v>
                </c:pt>
                <c:pt idx="23">
                  <c:v>3.9963453829000003E-4</c:v>
                </c:pt>
              </c:numCache>
            </c:numRef>
          </c:yVal>
          <c:smooth val="0"/>
          <c:extLst>
            <c:ext xmlns:c16="http://schemas.microsoft.com/office/drawing/2014/chart" uri="{C3380CC4-5D6E-409C-BE32-E72D297353CC}">
              <c16:uniqueId val="{00000000-A27B-483C-A449-9C8A50245CF9}"/>
            </c:ext>
          </c:extLst>
        </c:ser>
        <c:dLbls>
          <c:showLegendKey val="0"/>
          <c:showVal val="0"/>
          <c:showCatName val="0"/>
          <c:showSerName val="0"/>
          <c:showPercent val="0"/>
          <c:showBubbleSize val="0"/>
        </c:dLbls>
        <c:axId val="449525632"/>
        <c:axId val="449527072"/>
      </c:scatterChart>
      <c:valAx>
        <c:axId val="449525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527072"/>
        <c:crosses val="autoZero"/>
        <c:crossBetween val="midCat"/>
      </c:valAx>
      <c:valAx>
        <c:axId val="449527072"/>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5256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Signal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Sheet1!$D$83:$D$112</c:f>
              <c:numCache>
                <c:formatCode>General</c:formatCode>
                <c:ptCount val="30"/>
                <c:pt idx="0">
                  <c:v>2</c:v>
                </c:pt>
                <c:pt idx="1">
                  <c:v>4</c:v>
                </c:pt>
                <c:pt idx="2">
                  <c:v>14</c:v>
                </c:pt>
                <c:pt idx="3">
                  <c:v>28</c:v>
                </c:pt>
                <c:pt idx="4">
                  <c:v>42</c:v>
                </c:pt>
                <c:pt idx="5">
                  <c:v>52</c:v>
                </c:pt>
                <c:pt idx="6">
                  <c:v>62</c:v>
                </c:pt>
                <c:pt idx="7">
                  <c:v>72</c:v>
                </c:pt>
                <c:pt idx="8">
                  <c:v>82</c:v>
                </c:pt>
                <c:pt idx="9">
                  <c:v>92</c:v>
                </c:pt>
                <c:pt idx="10">
                  <c:v>102</c:v>
                </c:pt>
                <c:pt idx="11">
                  <c:v>112</c:v>
                </c:pt>
                <c:pt idx="12">
                  <c:v>122</c:v>
                </c:pt>
                <c:pt idx="13">
                  <c:v>132</c:v>
                </c:pt>
                <c:pt idx="14">
                  <c:v>142</c:v>
                </c:pt>
                <c:pt idx="15">
                  <c:v>152</c:v>
                </c:pt>
                <c:pt idx="16">
                  <c:v>252</c:v>
                </c:pt>
                <c:pt idx="17">
                  <c:v>352</c:v>
                </c:pt>
                <c:pt idx="18">
                  <c:v>452</c:v>
                </c:pt>
                <c:pt idx="19">
                  <c:v>552</c:v>
                </c:pt>
                <c:pt idx="20">
                  <c:v>602</c:v>
                </c:pt>
                <c:pt idx="21">
                  <c:v>902</c:v>
                </c:pt>
                <c:pt idx="22">
                  <c:v>1202</c:v>
                </c:pt>
                <c:pt idx="23">
                  <c:v>1502</c:v>
                </c:pt>
                <c:pt idx="24">
                  <c:v>1702</c:v>
                </c:pt>
                <c:pt idx="25">
                  <c:v>2202</c:v>
                </c:pt>
                <c:pt idx="26">
                  <c:v>2702</c:v>
                </c:pt>
              </c:numCache>
            </c:numRef>
          </c:xVal>
          <c:yVal>
            <c:numRef>
              <c:f>Sheet1!$E$83:$E$112</c:f>
              <c:numCache>
                <c:formatCode>General</c:formatCode>
                <c:ptCount val="30"/>
                <c:pt idx="0">
                  <c:v>1.8145000000000001E-2</c:v>
                </c:pt>
                <c:pt idx="1">
                  <c:v>1.8161E-2</c:v>
                </c:pt>
                <c:pt idx="2" formatCode="0.00E+00">
                  <c:v>1.8280000000000001E-2</c:v>
                </c:pt>
                <c:pt idx="3" formatCode="0.00E+00">
                  <c:v>1.8414E-2</c:v>
                </c:pt>
                <c:pt idx="4">
                  <c:v>1.8592000000000001E-2</c:v>
                </c:pt>
                <c:pt idx="5" formatCode="0.00E+00">
                  <c:v>1.8695E-2</c:v>
                </c:pt>
                <c:pt idx="6" formatCode="0.00E+00">
                  <c:v>1.8803E-2</c:v>
                </c:pt>
                <c:pt idx="7">
                  <c:v>1.8873999999999998E-2</c:v>
                </c:pt>
                <c:pt idx="8">
                  <c:v>1.8877000000000001E-2</c:v>
                </c:pt>
                <c:pt idx="9">
                  <c:v>1.9044999999999999E-2</c:v>
                </c:pt>
                <c:pt idx="10">
                  <c:v>1.9109000000000001E-2</c:v>
                </c:pt>
                <c:pt idx="11">
                  <c:v>1.9179999999999999E-2</c:v>
                </c:pt>
                <c:pt idx="12">
                  <c:v>1.9258999999999998E-2</c:v>
                </c:pt>
                <c:pt idx="13">
                  <c:v>1.9297999999999999E-2</c:v>
                </c:pt>
                <c:pt idx="14">
                  <c:v>1.9366000000000001E-2</c:v>
                </c:pt>
                <c:pt idx="15">
                  <c:v>1.9421999999999998E-2</c:v>
                </c:pt>
                <c:pt idx="16">
                  <c:v>1.9696999999999999E-2</c:v>
                </c:pt>
                <c:pt idx="17">
                  <c:v>1.9460999999999999E-2</c:v>
                </c:pt>
                <c:pt idx="18">
                  <c:v>1.8742000000000002E-2</c:v>
                </c:pt>
                <c:pt idx="19">
                  <c:v>1.7579999999999998E-2</c:v>
                </c:pt>
                <c:pt idx="20">
                  <c:v>1.6851000000000001E-2</c:v>
                </c:pt>
                <c:pt idx="21">
                  <c:v>1.0425E-2</c:v>
                </c:pt>
                <c:pt idx="22">
                  <c:v>1.9038E-3</c:v>
                </c:pt>
                <c:pt idx="23">
                  <c:v>-6.8926999999999999E-3</c:v>
                </c:pt>
                <c:pt idx="24">
                  <c:v>-1.1979E-2</c:v>
                </c:pt>
                <c:pt idx="25">
                  <c:v>-1.8603000000000001E-2</c:v>
                </c:pt>
                <c:pt idx="26">
                  <c:v>-1.4663000000000001E-2</c:v>
                </c:pt>
              </c:numCache>
            </c:numRef>
          </c:yVal>
          <c:smooth val="0"/>
          <c:extLst>
            <c:ext xmlns:c16="http://schemas.microsoft.com/office/drawing/2014/chart" uri="{C3380CC4-5D6E-409C-BE32-E72D297353CC}">
              <c16:uniqueId val="{00000000-3E93-4247-A14F-F86EFD6EA509}"/>
            </c:ext>
          </c:extLst>
        </c:ser>
        <c:ser>
          <c:idx val="1"/>
          <c:order val="1"/>
          <c:spPr>
            <a:ln w="38100" cap="rnd">
              <a:noFill/>
              <a:round/>
            </a:ln>
            <a:effectLst/>
          </c:spPr>
          <c:marker>
            <c:symbol val="circle"/>
            <c:size val="5"/>
            <c:spPr>
              <a:solidFill>
                <a:schemeClr val="accent2"/>
              </a:solidFill>
              <a:ln w="9525">
                <a:solidFill>
                  <a:schemeClr val="accent2"/>
                </a:solidFill>
              </a:ln>
              <a:effectLst/>
            </c:spPr>
          </c:marker>
          <c:xVal>
            <c:numRef>
              <c:f>Sheet1!$D$83:$D$112</c:f>
              <c:numCache>
                <c:formatCode>General</c:formatCode>
                <c:ptCount val="30"/>
                <c:pt idx="0">
                  <c:v>2</c:v>
                </c:pt>
                <c:pt idx="1">
                  <c:v>4</c:v>
                </c:pt>
                <c:pt idx="2">
                  <c:v>14</c:v>
                </c:pt>
                <c:pt idx="3">
                  <c:v>28</c:v>
                </c:pt>
                <c:pt idx="4">
                  <c:v>42</c:v>
                </c:pt>
                <c:pt idx="5">
                  <c:v>52</c:v>
                </c:pt>
                <c:pt idx="6">
                  <c:v>62</c:v>
                </c:pt>
                <c:pt idx="7">
                  <c:v>72</c:v>
                </c:pt>
                <c:pt idx="8">
                  <c:v>82</c:v>
                </c:pt>
                <c:pt idx="9">
                  <c:v>92</c:v>
                </c:pt>
                <c:pt idx="10">
                  <c:v>102</c:v>
                </c:pt>
                <c:pt idx="11">
                  <c:v>112</c:v>
                </c:pt>
                <c:pt idx="12">
                  <c:v>122</c:v>
                </c:pt>
                <c:pt idx="13">
                  <c:v>132</c:v>
                </c:pt>
                <c:pt idx="14">
                  <c:v>142</c:v>
                </c:pt>
                <c:pt idx="15">
                  <c:v>152</c:v>
                </c:pt>
                <c:pt idx="16">
                  <c:v>252</c:v>
                </c:pt>
                <c:pt idx="17">
                  <c:v>352</c:v>
                </c:pt>
                <c:pt idx="18">
                  <c:v>452</c:v>
                </c:pt>
                <c:pt idx="19">
                  <c:v>552</c:v>
                </c:pt>
                <c:pt idx="20">
                  <c:v>602</c:v>
                </c:pt>
                <c:pt idx="21">
                  <c:v>902</c:v>
                </c:pt>
                <c:pt idx="22">
                  <c:v>1202</c:v>
                </c:pt>
                <c:pt idx="23">
                  <c:v>1502</c:v>
                </c:pt>
                <c:pt idx="24">
                  <c:v>1702</c:v>
                </c:pt>
                <c:pt idx="25">
                  <c:v>2202</c:v>
                </c:pt>
                <c:pt idx="26">
                  <c:v>2702</c:v>
                </c:pt>
              </c:numCache>
            </c:numRef>
          </c:xVal>
          <c:yVal>
            <c:numRef>
              <c:f>Sheet1!$F$83:$F$112</c:f>
              <c:numCache>
                <c:formatCode>0.00E+00</c:formatCode>
                <c:ptCount val="30"/>
                <c:pt idx="0">
                  <c:v>1.8290343457641481E-2</c:v>
                </c:pt>
                <c:pt idx="1">
                  <c:v>1.8305338483889454E-2</c:v>
                </c:pt>
                <c:pt idx="2">
                  <c:v>1.8419735402263143E-2</c:v>
                </c:pt>
                <c:pt idx="3">
                  <c:v>1.8547218743838304E-2</c:v>
                </c:pt>
                <c:pt idx="4">
                  <c:v>1.8718637413679615E-2</c:v>
                </c:pt>
                <c:pt idx="5">
                  <c:v>1.8816578350877446E-2</c:v>
                </c:pt>
                <c:pt idx="6">
                  <c:v>1.8919066660628495E-2</c:v>
                </c:pt>
                <c:pt idx="7">
                  <c:v>1.8985000378093406E-2</c:v>
                </c:pt>
                <c:pt idx="8">
                  <c:v>1.8981948522372023E-2</c:v>
                </c:pt>
                <c:pt idx="9">
                  <c:v>1.9145251088346579E-2</c:v>
                </c:pt>
                <c:pt idx="10">
                  <c:v>1.9203345876629307E-2</c:v>
                </c:pt>
                <c:pt idx="11">
                  <c:v>1.9269111423536767E-2</c:v>
                </c:pt>
                <c:pt idx="12">
                  <c:v>1.9342407862232354E-2</c:v>
                </c:pt>
                <c:pt idx="13">
                  <c:v>1.9375730225711804E-2</c:v>
                </c:pt>
                <c:pt idx="14">
                  <c:v>1.9437637253529261E-2</c:v>
                </c:pt>
                <c:pt idx="15">
                  <c:v>1.9487870456770001E-2</c:v>
                </c:pt>
                <c:pt idx="16">
                  <c:v>1.9701121043446117E-2</c:v>
                </c:pt>
                <c:pt idx="17">
                  <c:v>1.9403090604652288E-2</c:v>
                </c:pt>
                <c:pt idx="18">
                  <c:v>1.8628526613207737E-2</c:v>
                </c:pt>
                <c:pt idx="19">
                  <c:v>1.7422385324201744E-2</c:v>
                </c:pt>
                <c:pt idx="20">
                  <c:v>1.6677608347679829E-2</c:v>
                </c:pt>
                <c:pt idx="21">
                  <c:v>1.0250431145596973E-2</c:v>
                </c:pt>
                <c:pt idx="22">
                  <c:v>1.8662011402808022E-3</c:v>
                </c:pt>
                <c:pt idx="23">
                  <c:v>-6.7645644760109458E-3</c:v>
                </c:pt>
                <c:pt idx="24">
                  <c:v>-1.1791360670447663E-2</c:v>
                </c:pt>
                <c:pt idx="25">
                  <c:v>-1.8545256796141666E-2</c:v>
                </c:pt>
                <c:pt idx="26">
                  <c:v>-1.4817298473221741E-2</c:v>
                </c:pt>
              </c:numCache>
            </c:numRef>
          </c:yVal>
          <c:smooth val="0"/>
          <c:extLst>
            <c:ext xmlns:c16="http://schemas.microsoft.com/office/drawing/2014/chart" uri="{C3380CC4-5D6E-409C-BE32-E72D297353CC}">
              <c16:uniqueId val="{00000001-3E93-4247-A14F-F86EFD6EA509}"/>
            </c:ext>
          </c:extLst>
        </c:ser>
        <c:dLbls>
          <c:showLegendKey val="0"/>
          <c:showVal val="0"/>
          <c:showCatName val="0"/>
          <c:showSerName val="0"/>
          <c:showPercent val="0"/>
          <c:showBubbleSize val="0"/>
        </c:dLbls>
        <c:axId val="449575552"/>
        <c:axId val="449576512"/>
      </c:scatterChart>
      <c:valAx>
        <c:axId val="449575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576512"/>
        <c:crosses val="autoZero"/>
        <c:crossBetween val="midCat"/>
      </c:valAx>
      <c:valAx>
        <c:axId val="44957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57555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Sheet1!$D$83:$D$113</c:f>
              <c:numCache>
                <c:formatCode>General</c:formatCode>
                <c:ptCount val="31"/>
                <c:pt idx="0">
                  <c:v>2</c:v>
                </c:pt>
                <c:pt idx="1">
                  <c:v>4</c:v>
                </c:pt>
                <c:pt idx="2">
                  <c:v>14</c:v>
                </c:pt>
                <c:pt idx="3">
                  <c:v>28</c:v>
                </c:pt>
                <c:pt idx="4">
                  <c:v>42</c:v>
                </c:pt>
                <c:pt idx="5">
                  <c:v>52</c:v>
                </c:pt>
                <c:pt idx="6">
                  <c:v>62</c:v>
                </c:pt>
                <c:pt idx="7">
                  <c:v>72</c:v>
                </c:pt>
                <c:pt idx="8">
                  <c:v>82</c:v>
                </c:pt>
                <c:pt idx="9">
                  <c:v>92</c:v>
                </c:pt>
                <c:pt idx="10">
                  <c:v>102</c:v>
                </c:pt>
                <c:pt idx="11">
                  <c:v>112</c:v>
                </c:pt>
                <c:pt idx="12">
                  <c:v>122</c:v>
                </c:pt>
                <c:pt idx="13">
                  <c:v>132</c:v>
                </c:pt>
                <c:pt idx="14">
                  <c:v>142</c:v>
                </c:pt>
                <c:pt idx="15">
                  <c:v>152</c:v>
                </c:pt>
                <c:pt idx="16">
                  <c:v>252</c:v>
                </c:pt>
                <c:pt idx="17">
                  <c:v>352</c:v>
                </c:pt>
                <c:pt idx="18">
                  <c:v>452</c:v>
                </c:pt>
                <c:pt idx="19">
                  <c:v>552</c:v>
                </c:pt>
                <c:pt idx="20">
                  <c:v>602</c:v>
                </c:pt>
                <c:pt idx="21">
                  <c:v>902</c:v>
                </c:pt>
                <c:pt idx="22">
                  <c:v>1202</c:v>
                </c:pt>
                <c:pt idx="23">
                  <c:v>1502</c:v>
                </c:pt>
                <c:pt idx="24">
                  <c:v>1702</c:v>
                </c:pt>
                <c:pt idx="25">
                  <c:v>2202</c:v>
                </c:pt>
                <c:pt idx="26">
                  <c:v>2702</c:v>
                </c:pt>
              </c:numCache>
            </c:numRef>
          </c:xVal>
          <c:yVal>
            <c:numRef>
              <c:f>Sheet1!$G$83:$G$113</c:f>
              <c:numCache>
                <c:formatCode>General</c:formatCode>
                <c:ptCount val="31"/>
                <c:pt idx="0" formatCode="0.00E+00">
                  <c:v>7.9781999999999995E-3</c:v>
                </c:pt>
                <c:pt idx="1">
                  <c:v>7.9162999999999994E-3</c:v>
                </c:pt>
                <c:pt idx="2" formatCode="0.00E+00">
                  <c:v>7.6150999999999996E-3</c:v>
                </c:pt>
                <c:pt idx="3">
                  <c:v>7.2085999999999999E-3</c:v>
                </c:pt>
                <c:pt idx="4" formatCode="0.00E+00">
                  <c:v>6.7882999999999997E-3</c:v>
                </c:pt>
                <c:pt idx="5" formatCode="0.00E+00">
                  <c:v>6.4821999999999996E-3</c:v>
                </c:pt>
                <c:pt idx="6" formatCode="0.00E+00">
                  <c:v>6.1538000000000001E-3</c:v>
                </c:pt>
                <c:pt idx="7">
                  <c:v>5.8639E-3</c:v>
                </c:pt>
                <c:pt idx="8" formatCode="0.00E+00">
                  <c:v>5.5442E-3</c:v>
                </c:pt>
                <c:pt idx="9">
                  <c:v>5.2500999999999997E-3</c:v>
                </c:pt>
                <c:pt idx="10">
                  <c:v>4.9251E-3</c:v>
                </c:pt>
                <c:pt idx="11">
                  <c:v>4.6353000000000002E-3</c:v>
                </c:pt>
                <c:pt idx="12">
                  <c:v>4.3214999999999998E-3</c:v>
                </c:pt>
                <c:pt idx="13">
                  <c:v>4.0197999999999996E-3</c:v>
                </c:pt>
                <c:pt idx="14">
                  <c:v>3.6922999999999999E-3</c:v>
                </c:pt>
                <c:pt idx="15">
                  <c:v>3.3858E-3</c:v>
                </c:pt>
                <c:pt idx="16" formatCode="0.00E+00">
                  <c:v>2.0919999999999999E-4</c:v>
                </c:pt>
                <c:pt idx="17" formatCode="0.00E+00">
                  <c:v>-2.9800999999999998E-3</c:v>
                </c:pt>
                <c:pt idx="18" formatCode="0.00E+00">
                  <c:v>-6.0729E-3</c:v>
                </c:pt>
                <c:pt idx="19">
                  <c:v>-9.0060000000000001E-3</c:v>
                </c:pt>
                <c:pt idx="20">
                  <c:v>-1.0343E-2</c:v>
                </c:pt>
                <c:pt idx="21">
                  <c:v>-1.6886999999999999E-2</c:v>
                </c:pt>
                <c:pt idx="22">
                  <c:v>-1.9946999999999999E-2</c:v>
                </c:pt>
                <c:pt idx="23">
                  <c:v>-1.8765E-2</c:v>
                </c:pt>
                <c:pt idx="24">
                  <c:v>-1.5788E-2</c:v>
                </c:pt>
                <c:pt idx="25">
                  <c:v>-3.1088000000000001E-3</c:v>
                </c:pt>
                <c:pt idx="26">
                  <c:v>1.0468E-2</c:v>
                </c:pt>
              </c:numCache>
            </c:numRef>
          </c:yVal>
          <c:smooth val="0"/>
          <c:extLst>
            <c:ext xmlns:c16="http://schemas.microsoft.com/office/drawing/2014/chart" uri="{C3380CC4-5D6E-409C-BE32-E72D297353CC}">
              <c16:uniqueId val="{00000000-6BD8-4AC3-BACC-5F5E782B7648}"/>
            </c:ext>
          </c:extLst>
        </c:ser>
        <c:ser>
          <c:idx val="1"/>
          <c:order val="1"/>
          <c:spPr>
            <a:ln w="38100" cap="rnd">
              <a:noFill/>
              <a:round/>
            </a:ln>
            <a:effectLst/>
          </c:spPr>
          <c:marker>
            <c:symbol val="circle"/>
            <c:size val="5"/>
            <c:spPr>
              <a:solidFill>
                <a:schemeClr val="accent2"/>
              </a:solidFill>
              <a:ln w="9525">
                <a:solidFill>
                  <a:schemeClr val="accent2"/>
                </a:solidFill>
              </a:ln>
              <a:effectLst/>
            </c:spPr>
          </c:marker>
          <c:xVal>
            <c:numRef>
              <c:f>Sheet1!$D$83:$D$113</c:f>
              <c:numCache>
                <c:formatCode>General</c:formatCode>
                <c:ptCount val="31"/>
                <c:pt idx="0">
                  <c:v>2</c:v>
                </c:pt>
                <c:pt idx="1">
                  <c:v>4</c:v>
                </c:pt>
                <c:pt idx="2">
                  <c:v>14</c:v>
                </c:pt>
                <c:pt idx="3">
                  <c:v>28</c:v>
                </c:pt>
                <c:pt idx="4">
                  <c:v>42</c:v>
                </c:pt>
                <c:pt idx="5">
                  <c:v>52</c:v>
                </c:pt>
                <c:pt idx="6">
                  <c:v>62</c:v>
                </c:pt>
                <c:pt idx="7">
                  <c:v>72</c:v>
                </c:pt>
                <c:pt idx="8">
                  <c:v>82</c:v>
                </c:pt>
                <c:pt idx="9">
                  <c:v>92</c:v>
                </c:pt>
                <c:pt idx="10">
                  <c:v>102</c:v>
                </c:pt>
                <c:pt idx="11">
                  <c:v>112</c:v>
                </c:pt>
                <c:pt idx="12">
                  <c:v>122</c:v>
                </c:pt>
                <c:pt idx="13">
                  <c:v>132</c:v>
                </c:pt>
                <c:pt idx="14">
                  <c:v>142</c:v>
                </c:pt>
                <c:pt idx="15">
                  <c:v>152</c:v>
                </c:pt>
                <c:pt idx="16">
                  <c:v>252</c:v>
                </c:pt>
                <c:pt idx="17">
                  <c:v>352</c:v>
                </c:pt>
                <c:pt idx="18">
                  <c:v>452</c:v>
                </c:pt>
                <c:pt idx="19">
                  <c:v>552</c:v>
                </c:pt>
                <c:pt idx="20">
                  <c:v>602</c:v>
                </c:pt>
                <c:pt idx="21">
                  <c:v>902</c:v>
                </c:pt>
                <c:pt idx="22">
                  <c:v>1202</c:v>
                </c:pt>
                <c:pt idx="23">
                  <c:v>1502</c:v>
                </c:pt>
                <c:pt idx="24">
                  <c:v>1702</c:v>
                </c:pt>
                <c:pt idx="25">
                  <c:v>2202</c:v>
                </c:pt>
                <c:pt idx="26">
                  <c:v>2702</c:v>
                </c:pt>
              </c:numCache>
            </c:numRef>
          </c:xVal>
          <c:yVal>
            <c:numRef>
              <c:f>Sheet1!$H$83:$H$113</c:f>
              <c:numCache>
                <c:formatCode>0.00E+00</c:formatCode>
                <c:ptCount val="31"/>
                <c:pt idx="0">
                  <c:v>7.9781999999999995E-3</c:v>
                </c:pt>
                <c:pt idx="1">
                  <c:v>7.9162999999999994E-3</c:v>
                </c:pt>
                <c:pt idx="2">
                  <c:v>7.6150999999999996E-3</c:v>
                </c:pt>
                <c:pt idx="3">
                  <c:v>7.2085999999999999E-3</c:v>
                </c:pt>
                <c:pt idx="4">
                  <c:v>6.7882999999999997E-3</c:v>
                </c:pt>
                <c:pt idx="5">
                  <c:v>6.4821999999999996E-3</c:v>
                </c:pt>
                <c:pt idx="6">
                  <c:v>6.1538000000000001E-3</c:v>
                </c:pt>
                <c:pt idx="7">
                  <c:v>5.8639E-3</c:v>
                </c:pt>
                <c:pt idx="8">
                  <c:v>5.5442E-3</c:v>
                </c:pt>
                <c:pt idx="9">
                  <c:v>5.2500999999999997E-3</c:v>
                </c:pt>
                <c:pt idx="10">
                  <c:v>4.9251E-3</c:v>
                </c:pt>
                <c:pt idx="11">
                  <c:v>4.6353000000000002E-3</c:v>
                </c:pt>
                <c:pt idx="12">
                  <c:v>4.3214999999999998E-3</c:v>
                </c:pt>
                <c:pt idx="13">
                  <c:v>4.0197999999999996E-3</c:v>
                </c:pt>
                <c:pt idx="14">
                  <c:v>3.6922999999999999E-3</c:v>
                </c:pt>
                <c:pt idx="15">
                  <c:v>3.3858E-3</c:v>
                </c:pt>
                <c:pt idx="16">
                  <c:v>2.0919999999999999E-4</c:v>
                </c:pt>
                <c:pt idx="17">
                  <c:v>-2.9800999999999998E-3</c:v>
                </c:pt>
                <c:pt idx="18">
                  <c:v>-6.0729E-3</c:v>
                </c:pt>
                <c:pt idx="19">
                  <c:v>-9.0060000000000001E-3</c:v>
                </c:pt>
                <c:pt idx="20">
                  <c:v>-1.0343E-2</c:v>
                </c:pt>
                <c:pt idx="21">
                  <c:v>-1.6886999999999999E-2</c:v>
                </c:pt>
                <c:pt idx="22">
                  <c:v>-1.9946999999999999E-2</c:v>
                </c:pt>
                <c:pt idx="23">
                  <c:v>-1.8765E-2</c:v>
                </c:pt>
                <c:pt idx="24">
                  <c:v>-1.5788E-2</c:v>
                </c:pt>
                <c:pt idx="25">
                  <c:v>-3.1088000000000001E-3</c:v>
                </c:pt>
                <c:pt idx="26">
                  <c:v>1.0468E-2</c:v>
                </c:pt>
              </c:numCache>
            </c:numRef>
          </c:yVal>
          <c:smooth val="0"/>
          <c:extLst>
            <c:ext xmlns:c16="http://schemas.microsoft.com/office/drawing/2014/chart" uri="{C3380CC4-5D6E-409C-BE32-E72D297353CC}">
              <c16:uniqueId val="{00000001-6BD8-4AC3-BACC-5F5E782B7648}"/>
            </c:ext>
          </c:extLst>
        </c:ser>
        <c:dLbls>
          <c:showLegendKey val="0"/>
          <c:showVal val="0"/>
          <c:showCatName val="0"/>
          <c:showSerName val="0"/>
          <c:showPercent val="0"/>
          <c:showBubbleSize val="0"/>
        </c:dLbls>
        <c:axId val="449636992"/>
        <c:axId val="449637952"/>
      </c:scatterChart>
      <c:valAx>
        <c:axId val="449636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637952"/>
        <c:crosses val="autoZero"/>
        <c:crossBetween val="midCat"/>
      </c:valAx>
      <c:valAx>
        <c:axId val="449637952"/>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6369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Sheet1!$D$83:$D$109</c:f>
              <c:numCache>
                <c:formatCode>General</c:formatCode>
                <c:ptCount val="27"/>
                <c:pt idx="0">
                  <c:v>2</c:v>
                </c:pt>
                <c:pt idx="1">
                  <c:v>4</c:v>
                </c:pt>
                <c:pt idx="2">
                  <c:v>14</c:v>
                </c:pt>
                <c:pt idx="3">
                  <c:v>28</c:v>
                </c:pt>
                <c:pt idx="4">
                  <c:v>42</c:v>
                </c:pt>
                <c:pt idx="5">
                  <c:v>52</c:v>
                </c:pt>
                <c:pt idx="6">
                  <c:v>62</c:v>
                </c:pt>
                <c:pt idx="7">
                  <c:v>72</c:v>
                </c:pt>
                <c:pt idx="8">
                  <c:v>82</c:v>
                </c:pt>
                <c:pt idx="9">
                  <c:v>92</c:v>
                </c:pt>
                <c:pt idx="10">
                  <c:v>102</c:v>
                </c:pt>
                <c:pt idx="11">
                  <c:v>112</c:v>
                </c:pt>
                <c:pt idx="12">
                  <c:v>122</c:v>
                </c:pt>
                <c:pt idx="13">
                  <c:v>132</c:v>
                </c:pt>
                <c:pt idx="14">
                  <c:v>142</c:v>
                </c:pt>
                <c:pt idx="15">
                  <c:v>152</c:v>
                </c:pt>
                <c:pt idx="16">
                  <c:v>252</c:v>
                </c:pt>
                <c:pt idx="17">
                  <c:v>352</c:v>
                </c:pt>
                <c:pt idx="18">
                  <c:v>452</c:v>
                </c:pt>
                <c:pt idx="19">
                  <c:v>552</c:v>
                </c:pt>
                <c:pt idx="20">
                  <c:v>602</c:v>
                </c:pt>
                <c:pt idx="21">
                  <c:v>902</c:v>
                </c:pt>
                <c:pt idx="22">
                  <c:v>1202</c:v>
                </c:pt>
                <c:pt idx="23">
                  <c:v>1502</c:v>
                </c:pt>
                <c:pt idx="24">
                  <c:v>1702</c:v>
                </c:pt>
                <c:pt idx="25">
                  <c:v>2202</c:v>
                </c:pt>
                <c:pt idx="26">
                  <c:v>2702</c:v>
                </c:pt>
              </c:numCache>
            </c:numRef>
          </c:xVal>
          <c:yVal>
            <c:numRef>
              <c:f>Sheet1!$J$83:$J$109</c:f>
              <c:numCache>
                <c:formatCode>General</c:formatCode>
                <c:ptCount val="27"/>
                <c:pt idx="0">
                  <c:v>1.8073595467935188E-2</c:v>
                </c:pt>
                <c:pt idx="1">
                  <c:v>1.8096913923142419E-2</c:v>
                </c:pt>
                <c:pt idx="2">
                  <c:v>1.8210865897222955E-2</c:v>
                </c:pt>
                <c:pt idx="3">
                  <c:v>1.836296600786173E-2</c:v>
                </c:pt>
                <c:pt idx="4">
                  <c:v>1.8506329483463809E-2</c:v>
                </c:pt>
                <c:pt idx="5">
                  <c:v>1.8603345057122793E-2</c:v>
                </c:pt>
                <c:pt idx="6">
                  <c:v>1.8695844726086715E-2</c:v>
                </c:pt>
                <c:pt idx="7">
                  <c:v>1.8783806036345919E-2</c:v>
                </c:pt>
                <c:pt idx="8">
                  <c:v>1.8867207635563359E-2</c:v>
                </c:pt>
                <c:pt idx="9">
                  <c:v>1.8946029278257785E-2</c:v>
                </c:pt>
                <c:pt idx="10">
                  <c:v>1.9020251830718288E-2</c:v>
                </c:pt>
                <c:pt idx="11">
                  <c:v>1.9089857275648936E-2</c:v>
                </c:pt>
                <c:pt idx="12">
                  <c:v>1.9154828716542432E-2</c:v>
                </c:pt>
                <c:pt idx="13">
                  <c:v>1.9215150381781679E-2</c:v>
                </c:pt>
                <c:pt idx="14">
                  <c:v>1.9270807628468296E-2</c:v>
                </c:pt>
                <c:pt idx="15">
                  <c:v>1.9321786945977124E-2</c:v>
                </c:pt>
                <c:pt idx="16">
                  <c:v>1.9572136989915966E-2</c:v>
                </c:pt>
                <c:pt idx="17">
                  <c:v>1.9348330179824499E-2</c:v>
                </c:pt>
                <c:pt idx="18">
                  <c:v>1.8655788485364914E-2</c:v>
                </c:pt>
                <c:pt idx="19">
                  <c:v>1.7511289501712383E-2</c:v>
                </c:pt>
                <c:pt idx="20">
                  <c:v>1.6777809555301452E-2</c:v>
                </c:pt>
                <c:pt idx="21">
                  <c:v>1.0436878652521872E-2</c:v>
                </c:pt>
                <c:pt idx="22">
                  <c:v>1.8569468089372025E-3</c:v>
                </c:pt>
                <c:pt idx="23">
                  <c:v>-7.1213518060413913E-3</c:v>
                </c:pt>
                <c:pt idx="24">
                  <c:v>-1.2367803978271268E-2</c:v>
                </c:pt>
                <c:pt idx="25">
                  <c:v>-1.9458782358244955E-2</c:v>
                </c:pt>
                <c:pt idx="26">
                  <c:v>-1.532589877294855E-2</c:v>
                </c:pt>
              </c:numCache>
            </c:numRef>
          </c:yVal>
          <c:smooth val="0"/>
          <c:extLst>
            <c:ext xmlns:c16="http://schemas.microsoft.com/office/drawing/2014/chart" uri="{C3380CC4-5D6E-409C-BE32-E72D297353CC}">
              <c16:uniqueId val="{00000000-D30F-46D5-9B84-551281B0A19C}"/>
            </c:ext>
          </c:extLst>
        </c:ser>
        <c:dLbls>
          <c:showLegendKey val="0"/>
          <c:showVal val="0"/>
          <c:showCatName val="0"/>
          <c:showSerName val="0"/>
          <c:showPercent val="0"/>
          <c:showBubbleSize val="0"/>
        </c:dLbls>
        <c:axId val="449612032"/>
        <c:axId val="449612512"/>
      </c:scatterChart>
      <c:valAx>
        <c:axId val="449612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612512"/>
        <c:crosses val="autoZero"/>
        <c:crossBetween val="midCat"/>
      </c:valAx>
      <c:valAx>
        <c:axId val="44961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6120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Sheet1!$D$83:$D$109</c:f>
              <c:numCache>
                <c:formatCode>General</c:formatCode>
                <c:ptCount val="27"/>
                <c:pt idx="0">
                  <c:v>2</c:v>
                </c:pt>
                <c:pt idx="1">
                  <c:v>4</c:v>
                </c:pt>
                <c:pt idx="2">
                  <c:v>14</c:v>
                </c:pt>
                <c:pt idx="3">
                  <c:v>28</c:v>
                </c:pt>
                <c:pt idx="4">
                  <c:v>42</c:v>
                </c:pt>
                <c:pt idx="5">
                  <c:v>52</c:v>
                </c:pt>
                <c:pt idx="6">
                  <c:v>62</c:v>
                </c:pt>
                <c:pt idx="7">
                  <c:v>72</c:v>
                </c:pt>
                <c:pt idx="8">
                  <c:v>82</c:v>
                </c:pt>
                <c:pt idx="9">
                  <c:v>92</c:v>
                </c:pt>
                <c:pt idx="10">
                  <c:v>102</c:v>
                </c:pt>
                <c:pt idx="11">
                  <c:v>112</c:v>
                </c:pt>
                <c:pt idx="12">
                  <c:v>122</c:v>
                </c:pt>
                <c:pt idx="13">
                  <c:v>132</c:v>
                </c:pt>
                <c:pt idx="14">
                  <c:v>142</c:v>
                </c:pt>
                <c:pt idx="15">
                  <c:v>152</c:v>
                </c:pt>
                <c:pt idx="16">
                  <c:v>252</c:v>
                </c:pt>
                <c:pt idx="17">
                  <c:v>352</c:v>
                </c:pt>
                <c:pt idx="18">
                  <c:v>452</c:v>
                </c:pt>
                <c:pt idx="19">
                  <c:v>552</c:v>
                </c:pt>
                <c:pt idx="20">
                  <c:v>602</c:v>
                </c:pt>
                <c:pt idx="21">
                  <c:v>902</c:v>
                </c:pt>
                <c:pt idx="22">
                  <c:v>1202</c:v>
                </c:pt>
                <c:pt idx="23">
                  <c:v>1502</c:v>
                </c:pt>
                <c:pt idx="24">
                  <c:v>1702</c:v>
                </c:pt>
                <c:pt idx="25">
                  <c:v>2202</c:v>
                </c:pt>
                <c:pt idx="26">
                  <c:v>2702</c:v>
                </c:pt>
              </c:numCache>
            </c:numRef>
          </c:xVal>
          <c:yVal>
            <c:numRef>
              <c:f>Sheet1!$L$83:$L$109</c:f>
              <c:numCache>
                <c:formatCode>0.00E+00</c:formatCode>
                <c:ptCount val="27"/>
                <c:pt idx="0">
                  <c:v>7.8028847475728269E-3</c:v>
                </c:pt>
                <c:pt idx="1">
                  <c:v>7.7460888224770309E-3</c:v>
                </c:pt>
                <c:pt idx="2">
                  <c:v>7.4610293048321275E-3</c:v>
                </c:pt>
                <c:pt idx="3">
                  <c:v>7.0590198537370591E-3</c:v>
                </c:pt>
                <c:pt idx="4">
                  <c:v>6.6537639649432391E-3</c:v>
                </c:pt>
                <c:pt idx="5">
                  <c:v>6.3624110422999909E-3</c:v>
                </c:pt>
                <c:pt idx="6">
                  <c:v>6.0695651998702209E-3</c:v>
                </c:pt>
                <c:pt idx="7">
                  <c:v>5.7752951530119223E-3</c:v>
                </c:pt>
                <c:pt idx="8">
                  <c:v>5.4796699512682095E-3</c:v>
                </c:pt>
                <c:pt idx="9">
                  <c:v>5.1827589621650317E-3</c:v>
                </c:pt>
                <c:pt idx="10">
                  <c:v>4.8846318549343112E-3</c:v>
                </c:pt>
                <c:pt idx="11">
                  <c:v>4.585358584166266E-3</c:v>
                </c:pt>
                <c:pt idx="12">
                  <c:v>4.2850093733947979E-3</c:v>
                </c:pt>
                <c:pt idx="13">
                  <c:v>3.9836546986197589E-3</c:v>
                </c:pt>
                <c:pt idx="14">
                  <c:v>3.6813652717699501E-3</c:v>
                </c:pt>
                <c:pt idx="15">
                  <c:v>3.3782120241108399E-3</c:v>
                </c:pt>
                <c:pt idx="16">
                  <c:v>3.1489765686652544E-4</c:v>
                </c:pt>
                <c:pt idx="17">
                  <c:v>-2.7557913919732118E-3</c:v>
                </c:pt>
                <c:pt idx="18">
                  <c:v>-5.7619417450937137E-3</c:v>
                </c:pt>
                <c:pt idx="19">
                  <c:v>-8.6331514760315184E-3</c:v>
                </c:pt>
                <c:pt idx="20">
                  <c:v>-9.996973396512971E-3</c:v>
                </c:pt>
                <c:pt idx="21">
                  <c:v>-1.6695582091635932E-2</c:v>
                </c:pt>
                <c:pt idx="22">
                  <c:v>-1.9929928751220648E-2</c:v>
                </c:pt>
                <c:pt idx="23">
                  <c:v>-1.9028900245993099E-2</c:v>
                </c:pt>
                <c:pt idx="24">
                  <c:v>-1.6187761740600562E-2</c:v>
                </c:pt>
                <c:pt idx="25">
                  <c:v>-3.4046358905127907E-3</c:v>
                </c:pt>
                <c:pt idx="26">
                  <c:v>1.1279998855168494E-2</c:v>
                </c:pt>
              </c:numCache>
            </c:numRef>
          </c:yVal>
          <c:smooth val="0"/>
          <c:extLst>
            <c:ext xmlns:c16="http://schemas.microsoft.com/office/drawing/2014/chart" uri="{C3380CC4-5D6E-409C-BE32-E72D297353CC}">
              <c16:uniqueId val="{00000000-1852-4451-AE32-85BD2EBDE57F}"/>
            </c:ext>
          </c:extLst>
        </c:ser>
        <c:dLbls>
          <c:showLegendKey val="0"/>
          <c:showVal val="0"/>
          <c:showCatName val="0"/>
          <c:showSerName val="0"/>
          <c:showPercent val="0"/>
          <c:showBubbleSize val="0"/>
        </c:dLbls>
        <c:axId val="449541952"/>
        <c:axId val="449542432"/>
      </c:scatterChart>
      <c:valAx>
        <c:axId val="449541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542432"/>
        <c:crosses val="autoZero"/>
        <c:crossBetween val="midCat"/>
      </c:valAx>
      <c:valAx>
        <c:axId val="449542432"/>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5419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Silicon</a:t>
            </a:r>
            <a:r>
              <a:rPr lang="en-US" baseline="0"/>
              <a:t> Nitride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exp"/>
            <c:dispRSqr val="1"/>
            <c:dispEq val="1"/>
            <c:trendlineLbl>
              <c:layout>
                <c:manualLayout>
                  <c:x val="1.8716400320216405E-3"/>
                  <c:y val="-0.31430345653510033"/>
                </c:manualLayout>
              </c:layout>
              <c:numFmt formatCode="#,##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Focused!$A$1:$A$164</c:f>
              <c:numCache>
                <c:formatCode>General</c:formatCode>
                <c:ptCount val="164"/>
                <c:pt idx="0">
                  <c:v>4</c:v>
                </c:pt>
                <c:pt idx="1">
                  <c:v>5</c:v>
                </c:pt>
                <c:pt idx="2">
                  <c:v>6</c:v>
                </c:pt>
                <c:pt idx="3">
                  <c:v>7</c:v>
                </c:pt>
                <c:pt idx="4">
                  <c:v>8</c:v>
                </c:pt>
                <c:pt idx="5">
                  <c:v>9</c:v>
                </c:pt>
                <c:pt idx="6">
                  <c:v>10</c:v>
                </c:pt>
                <c:pt idx="7">
                  <c:v>11</c:v>
                </c:pt>
                <c:pt idx="8">
                  <c:v>12</c:v>
                </c:pt>
                <c:pt idx="9">
                  <c:v>13</c:v>
                </c:pt>
                <c:pt idx="10">
                  <c:v>14</c:v>
                </c:pt>
                <c:pt idx="11">
                  <c:v>15</c:v>
                </c:pt>
                <c:pt idx="12">
                  <c:v>16</c:v>
                </c:pt>
                <c:pt idx="13">
                  <c:v>17</c:v>
                </c:pt>
                <c:pt idx="14">
                  <c:v>18</c:v>
                </c:pt>
                <c:pt idx="15">
                  <c:v>19</c:v>
                </c:pt>
                <c:pt idx="16">
                  <c:v>20</c:v>
                </c:pt>
                <c:pt idx="17">
                  <c:v>21</c:v>
                </c:pt>
                <c:pt idx="18">
                  <c:v>22</c:v>
                </c:pt>
                <c:pt idx="19">
                  <c:v>23</c:v>
                </c:pt>
                <c:pt idx="20">
                  <c:v>24</c:v>
                </c:pt>
                <c:pt idx="21">
                  <c:v>25</c:v>
                </c:pt>
                <c:pt idx="22">
                  <c:v>26</c:v>
                </c:pt>
                <c:pt idx="23">
                  <c:v>27</c:v>
                </c:pt>
                <c:pt idx="24">
                  <c:v>28</c:v>
                </c:pt>
                <c:pt idx="25">
                  <c:v>29</c:v>
                </c:pt>
                <c:pt idx="26">
                  <c:v>30</c:v>
                </c:pt>
                <c:pt idx="27">
                  <c:v>31</c:v>
                </c:pt>
                <c:pt idx="28">
                  <c:v>32</c:v>
                </c:pt>
                <c:pt idx="29">
                  <c:v>33</c:v>
                </c:pt>
                <c:pt idx="30">
                  <c:v>34</c:v>
                </c:pt>
                <c:pt idx="31">
                  <c:v>35</c:v>
                </c:pt>
                <c:pt idx="32">
                  <c:v>36</c:v>
                </c:pt>
                <c:pt idx="33">
                  <c:v>37</c:v>
                </c:pt>
                <c:pt idx="34">
                  <c:v>38</c:v>
                </c:pt>
                <c:pt idx="35">
                  <c:v>39</c:v>
                </c:pt>
                <c:pt idx="36">
                  <c:v>40</c:v>
                </c:pt>
                <c:pt idx="37">
                  <c:v>41</c:v>
                </c:pt>
                <c:pt idx="38">
                  <c:v>42</c:v>
                </c:pt>
                <c:pt idx="39">
                  <c:v>43</c:v>
                </c:pt>
                <c:pt idx="40">
                  <c:v>44</c:v>
                </c:pt>
                <c:pt idx="41">
                  <c:v>45</c:v>
                </c:pt>
                <c:pt idx="42">
                  <c:v>46</c:v>
                </c:pt>
                <c:pt idx="43">
                  <c:v>47</c:v>
                </c:pt>
                <c:pt idx="44">
                  <c:v>48</c:v>
                </c:pt>
                <c:pt idx="45">
                  <c:v>49</c:v>
                </c:pt>
                <c:pt idx="46">
                  <c:v>50</c:v>
                </c:pt>
                <c:pt idx="47">
                  <c:v>51</c:v>
                </c:pt>
                <c:pt idx="48">
                  <c:v>52</c:v>
                </c:pt>
                <c:pt idx="49">
                  <c:v>53</c:v>
                </c:pt>
                <c:pt idx="50">
                  <c:v>54</c:v>
                </c:pt>
                <c:pt idx="51">
                  <c:v>55</c:v>
                </c:pt>
                <c:pt idx="52">
                  <c:v>56</c:v>
                </c:pt>
                <c:pt idx="53">
                  <c:v>57</c:v>
                </c:pt>
                <c:pt idx="54">
                  <c:v>58</c:v>
                </c:pt>
                <c:pt idx="55">
                  <c:v>59</c:v>
                </c:pt>
                <c:pt idx="56">
                  <c:v>60</c:v>
                </c:pt>
                <c:pt idx="57">
                  <c:v>61</c:v>
                </c:pt>
                <c:pt idx="58">
                  <c:v>62</c:v>
                </c:pt>
                <c:pt idx="59">
                  <c:v>63</c:v>
                </c:pt>
                <c:pt idx="60">
                  <c:v>64</c:v>
                </c:pt>
                <c:pt idx="61">
                  <c:v>65</c:v>
                </c:pt>
                <c:pt idx="62">
                  <c:v>66</c:v>
                </c:pt>
                <c:pt idx="63">
                  <c:v>67</c:v>
                </c:pt>
                <c:pt idx="64">
                  <c:v>68</c:v>
                </c:pt>
                <c:pt idx="65">
                  <c:v>69</c:v>
                </c:pt>
                <c:pt idx="66">
                  <c:v>70</c:v>
                </c:pt>
                <c:pt idx="67">
                  <c:v>71</c:v>
                </c:pt>
                <c:pt idx="68">
                  <c:v>72</c:v>
                </c:pt>
                <c:pt idx="69">
                  <c:v>73</c:v>
                </c:pt>
                <c:pt idx="70">
                  <c:v>74</c:v>
                </c:pt>
                <c:pt idx="71">
                  <c:v>75</c:v>
                </c:pt>
                <c:pt idx="72">
                  <c:v>76</c:v>
                </c:pt>
                <c:pt idx="73">
                  <c:v>77</c:v>
                </c:pt>
                <c:pt idx="74">
                  <c:v>78</c:v>
                </c:pt>
                <c:pt idx="75">
                  <c:v>79</c:v>
                </c:pt>
                <c:pt idx="76">
                  <c:v>80</c:v>
                </c:pt>
                <c:pt idx="77">
                  <c:v>81</c:v>
                </c:pt>
                <c:pt idx="78">
                  <c:v>82</c:v>
                </c:pt>
                <c:pt idx="79">
                  <c:v>83</c:v>
                </c:pt>
                <c:pt idx="80">
                  <c:v>84</c:v>
                </c:pt>
                <c:pt idx="81">
                  <c:v>85</c:v>
                </c:pt>
                <c:pt idx="82">
                  <c:v>86</c:v>
                </c:pt>
                <c:pt idx="83">
                  <c:v>87</c:v>
                </c:pt>
                <c:pt idx="84">
                  <c:v>88</c:v>
                </c:pt>
                <c:pt idx="85">
                  <c:v>89</c:v>
                </c:pt>
                <c:pt idx="86">
                  <c:v>90</c:v>
                </c:pt>
                <c:pt idx="87">
                  <c:v>91</c:v>
                </c:pt>
                <c:pt idx="88">
                  <c:v>92</c:v>
                </c:pt>
                <c:pt idx="89">
                  <c:v>93</c:v>
                </c:pt>
                <c:pt idx="90">
                  <c:v>94</c:v>
                </c:pt>
                <c:pt idx="91">
                  <c:v>95</c:v>
                </c:pt>
                <c:pt idx="92">
                  <c:v>96</c:v>
                </c:pt>
                <c:pt idx="93">
                  <c:v>97</c:v>
                </c:pt>
                <c:pt idx="94">
                  <c:v>98</c:v>
                </c:pt>
                <c:pt idx="95">
                  <c:v>99</c:v>
                </c:pt>
                <c:pt idx="96">
                  <c:v>100</c:v>
                </c:pt>
                <c:pt idx="97">
                  <c:v>101</c:v>
                </c:pt>
                <c:pt idx="98">
                  <c:v>102</c:v>
                </c:pt>
                <c:pt idx="99">
                  <c:v>112</c:v>
                </c:pt>
                <c:pt idx="100">
                  <c:v>122</c:v>
                </c:pt>
                <c:pt idx="101">
                  <c:v>132</c:v>
                </c:pt>
                <c:pt idx="102">
                  <c:v>142</c:v>
                </c:pt>
                <c:pt idx="103">
                  <c:v>152</c:v>
                </c:pt>
                <c:pt idx="104">
                  <c:v>162</c:v>
                </c:pt>
                <c:pt idx="105">
                  <c:v>172</c:v>
                </c:pt>
                <c:pt idx="106">
                  <c:v>182</c:v>
                </c:pt>
                <c:pt idx="107">
                  <c:v>192</c:v>
                </c:pt>
                <c:pt idx="108">
                  <c:v>202</c:v>
                </c:pt>
                <c:pt idx="109">
                  <c:v>212</c:v>
                </c:pt>
                <c:pt idx="110">
                  <c:v>222</c:v>
                </c:pt>
                <c:pt idx="111">
                  <c:v>232</c:v>
                </c:pt>
                <c:pt idx="112">
                  <c:v>242</c:v>
                </c:pt>
                <c:pt idx="113">
                  <c:v>252</c:v>
                </c:pt>
                <c:pt idx="114">
                  <c:v>262</c:v>
                </c:pt>
                <c:pt idx="115">
                  <c:v>272</c:v>
                </c:pt>
                <c:pt idx="116">
                  <c:v>282</c:v>
                </c:pt>
                <c:pt idx="117">
                  <c:v>292</c:v>
                </c:pt>
                <c:pt idx="118">
                  <c:v>302</c:v>
                </c:pt>
                <c:pt idx="119">
                  <c:v>312</c:v>
                </c:pt>
                <c:pt idx="120">
                  <c:v>322</c:v>
                </c:pt>
                <c:pt idx="121">
                  <c:v>332</c:v>
                </c:pt>
                <c:pt idx="122">
                  <c:v>342</c:v>
                </c:pt>
                <c:pt idx="123">
                  <c:v>352</c:v>
                </c:pt>
                <c:pt idx="124">
                  <c:v>362</c:v>
                </c:pt>
                <c:pt idx="125">
                  <c:v>372</c:v>
                </c:pt>
                <c:pt idx="126">
                  <c:v>382</c:v>
                </c:pt>
                <c:pt idx="127">
                  <c:v>392</c:v>
                </c:pt>
                <c:pt idx="128">
                  <c:v>402</c:v>
                </c:pt>
                <c:pt idx="129">
                  <c:v>412</c:v>
                </c:pt>
                <c:pt idx="130">
                  <c:v>422</c:v>
                </c:pt>
                <c:pt idx="131">
                  <c:v>432</c:v>
                </c:pt>
                <c:pt idx="132">
                  <c:v>442</c:v>
                </c:pt>
                <c:pt idx="133">
                  <c:v>452</c:v>
                </c:pt>
                <c:pt idx="134">
                  <c:v>462</c:v>
                </c:pt>
                <c:pt idx="135">
                  <c:v>472</c:v>
                </c:pt>
                <c:pt idx="136">
                  <c:v>482</c:v>
                </c:pt>
                <c:pt idx="137">
                  <c:v>492</c:v>
                </c:pt>
                <c:pt idx="138">
                  <c:v>502</c:v>
                </c:pt>
                <c:pt idx="139">
                  <c:v>602</c:v>
                </c:pt>
                <c:pt idx="140">
                  <c:v>702</c:v>
                </c:pt>
                <c:pt idx="141">
                  <c:v>802</c:v>
                </c:pt>
                <c:pt idx="142">
                  <c:v>902</c:v>
                </c:pt>
                <c:pt idx="143">
                  <c:v>1002</c:v>
                </c:pt>
                <c:pt idx="144">
                  <c:v>1102</c:v>
                </c:pt>
                <c:pt idx="145">
                  <c:v>1202</c:v>
                </c:pt>
                <c:pt idx="146">
                  <c:v>1302</c:v>
                </c:pt>
                <c:pt idx="147">
                  <c:v>1402</c:v>
                </c:pt>
                <c:pt idx="148">
                  <c:v>1502</c:v>
                </c:pt>
                <c:pt idx="149">
                  <c:v>1602</c:v>
                </c:pt>
                <c:pt idx="150">
                  <c:v>1702</c:v>
                </c:pt>
                <c:pt idx="151">
                  <c:v>1802</c:v>
                </c:pt>
                <c:pt idx="152">
                  <c:v>1902</c:v>
                </c:pt>
                <c:pt idx="153">
                  <c:v>2002</c:v>
                </c:pt>
                <c:pt idx="154">
                  <c:v>2102</c:v>
                </c:pt>
                <c:pt idx="155">
                  <c:v>2202</c:v>
                </c:pt>
                <c:pt idx="156">
                  <c:v>2302</c:v>
                </c:pt>
                <c:pt idx="157">
                  <c:v>2402</c:v>
                </c:pt>
                <c:pt idx="158">
                  <c:v>2502</c:v>
                </c:pt>
                <c:pt idx="159">
                  <c:v>2602</c:v>
                </c:pt>
                <c:pt idx="160">
                  <c:v>2702</c:v>
                </c:pt>
                <c:pt idx="161">
                  <c:v>2802</c:v>
                </c:pt>
                <c:pt idx="162">
                  <c:v>2902</c:v>
                </c:pt>
                <c:pt idx="163">
                  <c:v>3002</c:v>
                </c:pt>
              </c:numCache>
            </c:numRef>
          </c:xVal>
          <c:yVal>
            <c:numRef>
              <c:f>Focused!$B$1:$B$164</c:f>
              <c:numCache>
                <c:formatCode>General</c:formatCode>
                <c:ptCount val="164"/>
                <c:pt idx="0">
                  <c:v>5.8001733154399403E-4</c:v>
                </c:pt>
                <c:pt idx="1">
                  <c:v>5.81150415442476E-4</c:v>
                </c:pt>
                <c:pt idx="2">
                  <c:v>5.8033509425916999E-4</c:v>
                </c:pt>
                <c:pt idx="3">
                  <c:v>5.7978181219790802E-4</c:v>
                </c:pt>
                <c:pt idx="4">
                  <c:v>5.79492900143577E-4</c:v>
                </c:pt>
                <c:pt idx="5">
                  <c:v>5.7875554804798896E-4</c:v>
                </c:pt>
                <c:pt idx="6">
                  <c:v>5.7803744523658501E-4</c:v>
                </c:pt>
                <c:pt idx="7">
                  <c:v>5.7730598793659599E-4</c:v>
                </c:pt>
                <c:pt idx="8">
                  <c:v>5.7659643598773698E-4</c:v>
                </c:pt>
                <c:pt idx="9">
                  <c:v>5.76258260791675E-4</c:v>
                </c:pt>
                <c:pt idx="10">
                  <c:v>5.7569311325493696E-4</c:v>
                </c:pt>
                <c:pt idx="11">
                  <c:v>5.7503074697609505E-4</c:v>
                </c:pt>
                <c:pt idx="12">
                  <c:v>5.7526039950982395E-4</c:v>
                </c:pt>
                <c:pt idx="13">
                  <c:v>5.74159947291795E-4</c:v>
                </c:pt>
                <c:pt idx="14">
                  <c:v>5.7344084514703399E-4</c:v>
                </c:pt>
                <c:pt idx="15">
                  <c:v>5.7296387421754895E-4</c:v>
                </c:pt>
                <c:pt idx="16">
                  <c:v>5.7325902519734704E-4</c:v>
                </c:pt>
                <c:pt idx="17">
                  <c:v>5.6869041220905297E-4</c:v>
                </c:pt>
                <c:pt idx="18">
                  <c:v>5.6811944704586003E-4</c:v>
                </c:pt>
                <c:pt idx="19">
                  <c:v>5.7150608875187895E-4</c:v>
                </c:pt>
                <c:pt idx="20">
                  <c:v>5.70463720834095E-4</c:v>
                </c:pt>
                <c:pt idx="21">
                  <c:v>5.7001723806796305E-4</c:v>
                </c:pt>
                <c:pt idx="22">
                  <c:v>5.6908941896578399E-4</c:v>
                </c:pt>
                <c:pt idx="23">
                  <c:v>5.6867416834022199E-4</c:v>
                </c:pt>
                <c:pt idx="24">
                  <c:v>5.6804936393354904E-4</c:v>
                </c:pt>
                <c:pt idx="25">
                  <c:v>5.6822205841821098E-4</c:v>
                </c:pt>
                <c:pt idx="26">
                  <c:v>5.67270439746916E-4</c:v>
                </c:pt>
                <c:pt idx="27">
                  <c:v>5.6682774325824998E-4</c:v>
                </c:pt>
                <c:pt idx="28">
                  <c:v>5.6596166911512997E-4</c:v>
                </c:pt>
                <c:pt idx="29">
                  <c:v>5.6538612470827395E-4</c:v>
                </c:pt>
                <c:pt idx="30">
                  <c:v>5.6440474179745496E-4</c:v>
                </c:pt>
                <c:pt idx="31">
                  <c:v>5.6281361390389604E-4</c:v>
                </c:pt>
                <c:pt idx="32">
                  <c:v>5.6191635239640696E-4</c:v>
                </c:pt>
                <c:pt idx="33">
                  <c:v>5.6105143628236995E-4</c:v>
                </c:pt>
                <c:pt idx="34">
                  <c:v>5.6058404255674105E-4</c:v>
                </c:pt>
                <c:pt idx="35">
                  <c:v>5.6044640187048495E-4</c:v>
                </c:pt>
                <c:pt idx="36">
                  <c:v>5.5990499937381305E-4</c:v>
                </c:pt>
                <c:pt idx="37">
                  <c:v>5.5861367302822702E-4</c:v>
                </c:pt>
                <c:pt idx="38">
                  <c:v>5.5852188224839801E-4</c:v>
                </c:pt>
                <c:pt idx="39">
                  <c:v>5.5806785783205201E-4</c:v>
                </c:pt>
                <c:pt idx="40">
                  <c:v>5.5541016973057096E-4</c:v>
                </c:pt>
                <c:pt idx="41">
                  <c:v>5.5426938186570196E-4</c:v>
                </c:pt>
                <c:pt idx="42">
                  <c:v>5.5290574094080201E-4</c:v>
                </c:pt>
                <c:pt idx="43">
                  <c:v>5.5215846610719599E-4</c:v>
                </c:pt>
                <c:pt idx="44">
                  <c:v>5.5207961821804297E-4</c:v>
                </c:pt>
                <c:pt idx="45">
                  <c:v>5.5115109019509298E-4</c:v>
                </c:pt>
                <c:pt idx="46">
                  <c:v>5.5072561070080997E-4</c:v>
                </c:pt>
                <c:pt idx="47">
                  <c:v>5.4976275950136704E-4</c:v>
                </c:pt>
                <c:pt idx="48">
                  <c:v>5.4936091632118997E-4</c:v>
                </c:pt>
                <c:pt idx="49">
                  <c:v>5.4880809289621797E-4</c:v>
                </c:pt>
                <c:pt idx="50">
                  <c:v>5.4822155497740496E-4</c:v>
                </c:pt>
                <c:pt idx="51">
                  <c:v>5.4730936950507503E-4</c:v>
                </c:pt>
                <c:pt idx="52">
                  <c:v>5.4599643397493496E-4</c:v>
                </c:pt>
                <c:pt idx="53">
                  <c:v>5.4554687447249599E-4</c:v>
                </c:pt>
                <c:pt idx="54">
                  <c:v>5.4464671504429599E-4</c:v>
                </c:pt>
                <c:pt idx="55">
                  <c:v>5.4402766517427795E-4</c:v>
                </c:pt>
                <c:pt idx="56">
                  <c:v>5.4337577415760599E-4</c:v>
                </c:pt>
                <c:pt idx="57">
                  <c:v>5.4308725363454895E-4</c:v>
                </c:pt>
                <c:pt idx="58">
                  <c:v>5.4253315233906399E-4</c:v>
                </c:pt>
                <c:pt idx="59">
                  <c:v>5.4238350758204997E-4</c:v>
                </c:pt>
                <c:pt idx="60">
                  <c:v>5.4120921532755501E-4</c:v>
                </c:pt>
                <c:pt idx="61">
                  <c:v>5.4043712986209498E-4</c:v>
                </c:pt>
                <c:pt idx="62">
                  <c:v>5.4399083883805701E-4</c:v>
                </c:pt>
                <c:pt idx="63">
                  <c:v>5.43281424304017E-4</c:v>
                </c:pt>
                <c:pt idx="64">
                  <c:v>5.4306529191074603E-4</c:v>
                </c:pt>
                <c:pt idx="65">
                  <c:v>5.4213703127906098E-4</c:v>
                </c:pt>
                <c:pt idx="66">
                  <c:v>5.4198346572829003E-4</c:v>
                </c:pt>
                <c:pt idx="67">
                  <c:v>5.4096931329071496E-4</c:v>
                </c:pt>
                <c:pt idx="68">
                  <c:v>5.3951749136485505E-4</c:v>
                </c:pt>
                <c:pt idx="69">
                  <c:v>5.3996138847436698E-4</c:v>
                </c:pt>
                <c:pt idx="70">
                  <c:v>5.3865580521694702E-4</c:v>
                </c:pt>
                <c:pt idx="71">
                  <c:v>5.3855582752064405E-4</c:v>
                </c:pt>
                <c:pt idx="72">
                  <c:v>5.3779631492542005E-4</c:v>
                </c:pt>
                <c:pt idx="73">
                  <c:v>5.3668920507270797E-4</c:v>
                </c:pt>
                <c:pt idx="74">
                  <c:v>5.3623057942086205E-4</c:v>
                </c:pt>
                <c:pt idx="75">
                  <c:v>5.3529988774109899E-4</c:v>
                </c:pt>
                <c:pt idx="76">
                  <c:v>5.3332874990378199E-4</c:v>
                </c:pt>
                <c:pt idx="77">
                  <c:v>5.3262935009344399E-4</c:v>
                </c:pt>
                <c:pt idx="78">
                  <c:v>5.3250393442615899E-4</c:v>
                </c:pt>
                <c:pt idx="79">
                  <c:v>5.3185079736668597E-4</c:v>
                </c:pt>
                <c:pt idx="80">
                  <c:v>5.3108924775832796E-4</c:v>
                </c:pt>
                <c:pt idx="81">
                  <c:v>5.3053950545227998E-4</c:v>
                </c:pt>
                <c:pt idx="82">
                  <c:v>5.2965663986231405E-4</c:v>
                </c:pt>
                <c:pt idx="83">
                  <c:v>5.3102532148892496E-4</c:v>
                </c:pt>
                <c:pt idx="84">
                  <c:v>5.3029663259892505E-4</c:v>
                </c:pt>
                <c:pt idx="85">
                  <c:v>5.2959435878277496E-4</c:v>
                </c:pt>
                <c:pt idx="86">
                  <c:v>5.2909625244550998E-4</c:v>
                </c:pt>
                <c:pt idx="87">
                  <c:v>5.2808167250302496E-4</c:v>
                </c:pt>
                <c:pt idx="88">
                  <c:v>5.2767532937991399E-4</c:v>
                </c:pt>
                <c:pt idx="89">
                  <c:v>5.2713560357703501E-4</c:v>
                </c:pt>
                <c:pt idx="90">
                  <c:v>5.2679101710591605E-4</c:v>
                </c:pt>
                <c:pt idx="91">
                  <c:v>5.2618681433154295E-4</c:v>
                </c:pt>
                <c:pt idx="92">
                  <c:v>5.2549830058816103E-4</c:v>
                </c:pt>
                <c:pt idx="93">
                  <c:v>5.2493651372281401E-4</c:v>
                </c:pt>
                <c:pt idx="94">
                  <c:v>5.2402938442391096E-4</c:v>
                </c:pt>
                <c:pt idx="95">
                  <c:v>5.2413366580511295E-4</c:v>
                </c:pt>
                <c:pt idx="96">
                  <c:v>5.2367056977411001E-4</c:v>
                </c:pt>
                <c:pt idx="97">
                  <c:v>5.2065834245763204E-4</c:v>
                </c:pt>
                <c:pt idx="98">
                  <c:v>5.2011507607607201E-4</c:v>
                </c:pt>
                <c:pt idx="99">
                  <c:v>5.1387006607791098E-4</c:v>
                </c:pt>
                <c:pt idx="100">
                  <c:v>5.0712067968739698E-4</c:v>
                </c:pt>
                <c:pt idx="101">
                  <c:v>4.9827947423330997E-4</c:v>
                </c:pt>
                <c:pt idx="102">
                  <c:v>4.9644924566700404E-4</c:v>
                </c:pt>
                <c:pt idx="103">
                  <c:v>4.9073055934445301E-4</c:v>
                </c:pt>
                <c:pt idx="104">
                  <c:v>4.84685106814527E-4</c:v>
                </c:pt>
                <c:pt idx="105">
                  <c:v>4.7996258684970399E-4</c:v>
                </c:pt>
                <c:pt idx="106">
                  <c:v>4.7414547624345503E-4</c:v>
                </c:pt>
                <c:pt idx="107">
                  <c:v>4.6858754745062999E-4</c:v>
                </c:pt>
                <c:pt idx="108">
                  <c:v>4.6270562667343E-4</c:v>
                </c:pt>
                <c:pt idx="109">
                  <c:v>4.5693355059812099E-4</c:v>
                </c:pt>
                <c:pt idx="110">
                  <c:v>4.5029780182117098E-4</c:v>
                </c:pt>
                <c:pt idx="111">
                  <c:v>4.45320332176347E-4</c:v>
                </c:pt>
                <c:pt idx="112">
                  <c:v>4.39134683496847E-4</c:v>
                </c:pt>
                <c:pt idx="113">
                  <c:v>4.3397314417080099E-4</c:v>
                </c:pt>
                <c:pt idx="114">
                  <c:v>4.2865132160966398E-4</c:v>
                </c:pt>
                <c:pt idx="115">
                  <c:v>4.22989701047418E-4</c:v>
                </c:pt>
                <c:pt idx="116">
                  <c:v>4.1815521431147397E-4</c:v>
                </c:pt>
                <c:pt idx="117">
                  <c:v>4.1246306393832898E-4</c:v>
                </c:pt>
                <c:pt idx="118">
                  <c:v>4.06965705401159E-4</c:v>
                </c:pt>
                <c:pt idx="119">
                  <c:v>4.0194789540267702E-4</c:v>
                </c:pt>
                <c:pt idx="120">
                  <c:v>3.9695454546715997E-4</c:v>
                </c:pt>
                <c:pt idx="121">
                  <c:v>3.9125935875498701E-4</c:v>
                </c:pt>
                <c:pt idx="122">
                  <c:v>3.8649774224258101E-4</c:v>
                </c:pt>
                <c:pt idx="123">
                  <c:v>3.8119901109028497E-4</c:v>
                </c:pt>
                <c:pt idx="124">
                  <c:v>3.7658106608490102E-4</c:v>
                </c:pt>
                <c:pt idx="125">
                  <c:v>3.71983605069622E-4</c:v>
                </c:pt>
                <c:pt idx="126">
                  <c:v>3.6701726385481303E-4</c:v>
                </c:pt>
                <c:pt idx="127">
                  <c:v>3.6126930843893103E-4</c:v>
                </c:pt>
                <c:pt idx="128">
                  <c:v>3.5702991607601E-4</c:v>
                </c:pt>
                <c:pt idx="129">
                  <c:v>3.5167925476005401E-4</c:v>
                </c:pt>
                <c:pt idx="130">
                  <c:v>3.47300265790706E-4</c:v>
                </c:pt>
                <c:pt idx="131">
                  <c:v>3.4239512640732802E-4</c:v>
                </c:pt>
                <c:pt idx="132">
                  <c:v>3.3770170005947402E-4</c:v>
                </c:pt>
                <c:pt idx="133">
                  <c:v>3.3336399584120598E-4</c:v>
                </c:pt>
                <c:pt idx="134">
                  <c:v>3.28013397507314E-4</c:v>
                </c:pt>
                <c:pt idx="135">
                  <c:v>3.2373763066164101E-4</c:v>
                </c:pt>
                <c:pt idx="136">
                  <c:v>3.1930080293663901E-4</c:v>
                </c:pt>
                <c:pt idx="137">
                  <c:v>3.1488482799548199E-4</c:v>
                </c:pt>
                <c:pt idx="138">
                  <c:v>3.10513451000671E-4</c:v>
                </c:pt>
                <c:pt idx="139">
                  <c:v>2.6671901796537897E-4</c:v>
                </c:pt>
                <c:pt idx="140">
                  <c:v>2.29271432894868E-4</c:v>
                </c:pt>
                <c:pt idx="141">
                  <c:v>1.94506847518834E-4</c:v>
                </c:pt>
                <c:pt idx="142">
                  <c:v>1.6375249701341301E-4</c:v>
                </c:pt>
                <c:pt idx="143">
                  <c:v>1.3672695418339399E-4</c:v>
                </c:pt>
                <c:pt idx="144">
                  <c:v>1.13605344785701E-4</c:v>
                </c:pt>
                <c:pt idx="145" formatCode="0.00E+00">
                  <c:v>9.3915750352155096E-5</c:v>
                </c:pt>
                <c:pt idx="146" formatCode="0.00E+00">
                  <c:v>7.7454481922590898E-5</c:v>
                </c:pt>
                <c:pt idx="147" formatCode="0.00E+00">
                  <c:v>6.3659884868127998E-5</c:v>
                </c:pt>
                <c:pt idx="148" formatCode="0.00E+00">
                  <c:v>5.24868267070737E-5</c:v>
                </c:pt>
                <c:pt idx="149" formatCode="0.00E+00">
                  <c:v>4.3215964757765699E-5</c:v>
                </c:pt>
                <c:pt idx="150" formatCode="0.00E+00">
                  <c:v>3.6210814436379198E-5</c:v>
                </c:pt>
                <c:pt idx="151" formatCode="0.00E+00">
                  <c:v>3.06433879538035E-5</c:v>
                </c:pt>
                <c:pt idx="152" formatCode="0.00E+00">
                  <c:v>2.6075394292296499E-5</c:v>
                </c:pt>
                <c:pt idx="153" formatCode="0.00E+00">
                  <c:v>2.2667110413731199E-5</c:v>
                </c:pt>
                <c:pt idx="154" formatCode="0.00E+00">
                  <c:v>1.9775337636330301E-5</c:v>
                </c:pt>
                <c:pt idx="155" formatCode="0.00E+00">
                  <c:v>1.7590508255583199E-5</c:v>
                </c:pt>
                <c:pt idx="156" formatCode="0.00E+00">
                  <c:v>1.565848043228E-5</c:v>
                </c:pt>
                <c:pt idx="157" formatCode="0.00E+00">
                  <c:v>1.39700336682189E-5</c:v>
                </c:pt>
                <c:pt idx="158" formatCode="0.00E+00">
                  <c:v>1.2594225964202001E-5</c:v>
                </c:pt>
                <c:pt idx="159" formatCode="0.00E+00">
                  <c:v>1.1478109616002299E-5</c:v>
                </c:pt>
                <c:pt idx="160" formatCode="0.00E+00">
                  <c:v>1.04118172281955E-5</c:v>
                </c:pt>
                <c:pt idx="161" formatCode="0.00E+00">
                  <c:v>9.4735238667283602E-6</c:v>
                </c:pt>
                <c:pt idx="162" formatCode="0.00E+00">
                  <c:v>8.5943698452901994E-6</c:v>
                </c:pt>
                <c:pt idx="163" formatCode="0.00E+00">
                  <c:v>7.7478767554368306E-6</c:v>
                </c:pt>
              </c:numCache>
            </c:numRef>
          </c:yVal>
          <c:smooth val="0"/>
          <c:extLst>
            <c:ext xmlns:c16="http://schemas.microsoft.com/office/drawing/2014/chart" uri="{C3380CC4-5D6E-409C-BE32-E72D297353CC}">
              <c16:uniqueId val="{00000000-945D-4499-89F2-609C4B2B5CE9}"/>
            </c:ext>
          </c:extLst>
        </c:ser>
        <c:dLbls>
          <c:showLegendKey val="0"/>
          <c:showVal val="0"/>
          <c:showCatName val="0"/>
          <c:showSerName val="0"/>
          <c:showPercent val="0"/>
          <c:showBubbleSize val="0"/>
        </c:dLbls>
        <c:axId val="449619712"/>
        <c:axId val="449638912"/>
      </c:scatterChart>
      <c:valAx>
        <c:axId val="449619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638912"/>
        <c:crosses val="autoZero"/>
        <c:crossBetween val="midCat"/>
      </c:valAx>
      <c:valAx>
        <c:axId val="449638912"/>
        <c:scaling>
          <c:orientation val="minMax"/>
          <c:max val="6.0000000000000016E-4"/>
          <c:min val="1.0000000000000005E-7"/>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61971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exp"/>
            <c:dispRSqr val="1"/>
            <c:dispEq val="1"/>
            <c:trendlineLbl>
              <c:layout>
                <c:manualLayout>
                  <c:x val="-9.2081247944832675E-2"/>
                  <c:y val="-0.4472547180891943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Focused!$M:$M</c:f>
              <c:numCache>
                <c:formatCode>General</c:formatCode>
                <c:ptCount val="1048576"/>
                <c:pt idx="0">
                  <c:v>2</c:v>
                </c:pt>
                <c:pt idx="1">
                  <c:v>102</c:v>
                </c:pt>
                <c:pt idx="2">
                  <c:v>202</c:v>
                </c:pt>
                <c:pt idx="3">
                  <c:v>302</c:v>
                </c:pt>
                <c:pt idx="4">
                  <c:v>402</c:v>
                </c:pt>
                <c:pt idx="5">
                  <c:v>502</c:v>
                </c:pt>
                <c:pt idx="6">
                  <c:v>602</c:v>
                </c:pt>
                <c:pt idx="7">
                  <c:v>702</c:v>
                </c:pt>
                <c:pt idx="8">
                  <c:v>802</c:v>
                </c:pt>
                <c:pt idx="9">
                  <c:v>902</c:v>
                </c:pt>
                <c:pt idx="10">
                  <c:v>1002</c:v>
                </c:pt>
                <c:pt idx="11">
                  <c:v>1102</c:v>
                </c:pt>
                <c:pt idx="12">
                  <c:v>1202</c:v>
                </c:pt>
                <c:pt idx="13">
                  <c:v>1302</c:v>
                </c:pt>
                <c:pt idx="14">
                  <c:v>1402</c:v>
                </c:pt>
                <c:pt idx="15">
                  <c:v>1502</c:v>
                </c:pt>
                <c:pt idx="16">
                  <c:v>1602</c:v>
                </c:pt>
                <c:pt idx="17">
                  <c:v>1702</c:v>
                </c:pt>
                <c:pt idx="18">
                  <c:v>1802</c:v>
                </c:pt>
                <c:pt idx="19">
                  <c:v>1902</c:v>
                </c:pt>
                <c:pt idx="20">
                  <c:v>2002</c:v>
                </c:pt>
                <c:pt idx="21">
                  <c:v>2102</c:v>
                </c:pt>
                <c:pt idx="22">
                  <c:v>2202</c:v>
                </c:pt>
                <c:pt idx="23">
                  <c:v>2302</c:v>
                </c:pt>
                <c:pt idx="24">
                  <c:v>2402</c:v>
                </c:pt>
                <c:pt idx="25">
                  <c:v>2502</c:v>
                </c:pt>
                <c:pt idx="26">
                  <c:v>2602</c:v>
                </c:pt>
              </c:numCache>
            </c:numRef>
          </c:xVal>
          <c:yVal>
            <c:numRef>
              <c:f>Focused!$N$1:$N$164</c:f>
              <c:numCache>
                <c:formatCode>General</c:formatCode>
                <c:ptCount val="164"/>
                <c:pt idx="0">
                  <c:v>5.8770921107485503E-4</c:v>
                </c:pt>
                <c:pt idx="1">
                  <c:v>5.2600098611054803E-4</c:v>
                </c:pt>
                <c:pt idx="2">
                  <c:v>4.6647046427471402E-4</c:v>
                </c:pt>
                <c:pt idx="3">
                  <c:v>4.1178354795567198E-4</c:v>
                </c:pt>
                <c:pt idx="4">
                  <c:v>3.61015696046953E-4</c:v>
                </c:pt>
                <c:pt idx="5">
                  <c:v>3.1503460999858502E-4</c:v>
                </c:pt>
                <c:pt idx="6">
                  <c:v>2.7148007139882299E-4</c:v>
                </c:pt>
                <c:pt idx="7">
                  <c:v>2.3209333764202101E-4</c:v>
                </c:pt>
                <c:pt idx="8">
                  <c:v>1.96627296506822E-4</c:v>
                </c:pt>
                <c:pt idx="9">
                  <c:v>1.6459551162402501E-4</c:v>
                </c:pt>
                <c:pt idx="10">
                  <c:v>1.37594687234035E-4</c:v>
                </c:pt>
                <c:pt idx="11">
                  <c:v>1.13468415680007E-4</c:v>
                </c:pt>
                <c:pt idx="12" formatCode="0.00E+00">
                  <c:v>9.2958880383785798E-5</c:v>
                </c:pt>
                <c:pt idx="13" formatCode="0.00E+00">
                  <c:v>7.5989204847917594E-5</c:v>
                </c:pt>
                <c:pt idx="14" formatCode="0.00E+00">
                  <c:v>6.1932776774197796E-5</c:v>
                </c:pt>
                <c:pt idx="15" formatCode="0.00E+00">
                  <c:v>5.0768945921197801E-5</c:v>
                </c:pt>
                <c:pt idx="16" formatCode="0.00E+00">
                  <c:v>4.1519281561702603E-5</c:v>
                </c:pt>
                <c:pt idx="17" formatCode="0.00E+00">
                  <c:v>3.4798660348758199E-5</c:v>
                </c:pt>
                <c:pt idx="18" formatCode="0.00E+00">
                  <c:v>2.9076896569207799E-5</c:v>
                </c:pt>
                <c:pt idx="19" formatCode="0.00E+00">
                  <c:v>2.4716244826248401E-5</c:v>
                </c:pt>
                <c:pt idx="20" formatCode="0.00E+00">
                  <c:v>2.15205763638132E-5</c:v>
                </c:pt>
                <c:pt idx="21" formatCode="0.00E+00">
                  <c:v>1.8930250974854201E-5</c:v>
                </c:pt>
                <c:pt idx="22" formatCode="0.00E+00">
                  <c:v>1.6804249819676498E-5</c:v>
                </c:pt>
                <c:pt idx="23" formatCode="0.00E+00">
                  <c:v>1.5025962385186401E-5</c:v>
                </c:pt>
                <c:pt idx="24" formatCode="0.00E+00">
                  <c:v>1.36090000505961E-5</c:v>
                </c:pt>
                <c:pt idx="25" formatCode="0.00E+00">
                  <c:v>1.2312899887880301E-5</c:v>
                </c:pt>
                <c:pt idx="26" formatCode="0.00E+00">
                  <c:v>1.1272401021021599E-5</c:v>
                </c:pt>
              </c:numCache>
            </c:numRef>
          </c:yVal>
          <c:smooth val="0"/>
          <c:extLst>
            <c:ext xmlns:c16="http://schemas.microsoft.com/office/drawing/2014/chart" uri="{C3380CC4-5D6E-409C-BE32-E72D297353CC}">
              <c16:uniqueId val="{00000000-CFFC-494A-B38E-5DFDAD86112C}"/>
            </c:ext>
          </c:extLst>
        </c:ser>
        <c:dLbls>
          <c:showLegendKey val="0"/>
          <c:showVal val="0"/>
          <c:showCatName val="0"/>
          <c:showSerName val="0"/>
          <c:showPercent val="0"/>
          <c:showBubbleSize val="0"/>
        </c:dLbls>
        <c:axId val="334816416"/>
        <c:axId val="1827021520"/>
      </c:scatterChart>
      <c:valAx>
        <c:axId val="334816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021520"/>
        <c:crosses val="autoZero"/>
        <c:crossBetween val="midCat"/>
      </c:valAx>
      <c:valAx>
        <c:axId val="1827021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8164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NP!$N$12:$N$17</c:f>
              <c:numCache>
                <c:formatCode>General</c:formatCode>
                <c:ptCount val="6"/>
                <c:pt idx="0">
                  <c:v>10</c:v>
                </c:pt>
                <c:pt idx="1">
                  <c:v>25</c:v>
                </c:pt>
                <c:pt idx="2">
                  <c:v>50</c:v>
                </c:pt>
                <c:pt idx="3">
                  <c:v>65</c:v>
                </c:pt>
                <c:pt idx="4">
                  <c:v>75</c:v>
                </c:pt>
                <c:pt idx="5">
                  <c:v>100</c:v>
                </c:pt>
              </c:numCache>
            </c:numRef>
          </c:xVal>
          <c:yVal>
            <c:numRef>
              <c:f>NP!$O$12:$O$17</c:f>
              <c:numCache>
                <c:formatCode>General</c:formatCode>
                <c:ptCount val="6"/>
                <c:pt idx="0">
                  <c:v>5.8754764319286323E-4</c:v>
                </c:pt>
                <c:pt idx="1">
                  <c:v>5.8753492493743233E-4</c:v>
                </c:pt>
                <c:pt idx="2">
                  <c:v>5.8774109760394101E-4</c:v>
                </c:pt>
                <c:pt idx="3">
                  <c:v>5.8738561503331513E-4</c:v>
                </c:pt>
                <c:pt idx="4">
                  <c:v>5.8785375057079578E-4</c:v>
                </c:pt>
                <c:pt idx="5" formatCode="0.00E+00">
                  <c:v>5.8492430121610275E-4</c:v>
                </c:pt>
              </c:numCache>
            </c:numRef>
          </c:yVal>
          <c:smooth val="0"/>
          <c:extLst>
            <c:ext xmlns:c16="http://schemas.microsoft.com/office/drawing/2014/chart" uri="{C3380CC4-5D6E-409C-BE32-E72D297353CC}">
              <c16:uniqueId val="{00000000-2062-4FCA-AECE-F4F550F58F6B}"/>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NP!$N$12:$N$17</c:f>
              <c:numCache>
                <c:formatCode>General</c:formatCode>
                <c:ptCount val="6"/>
                <c:pt idx="0">
                  <c:v>10</c:v>
                </c:pt>
                <c:pt idx="1">
                  <c:v>25</c:v>
                </c:pt>
                <c:pt idx="2">
                  <c:v>50</c:v>
                </c:pt>
                <c:pt idx="3">
                  <c:v>65</c:v>
                </c:pt>
                <c:pt idx="4">
                  <c:v>75</c:v>
                </c:pt>
                <c:pt idx="5">
                  <c:v>100</c:v>
                </c:pt>
              </c:numCache>
            </c:numRef>
          </c:xVal>
          <c:yVal>
            <c:numRef>
              <c:f>NP!$P$12:$P$17</c:f>
              <c:numCache>
                <c:formatCode>General</c:formatCode>
                <c:ptCount val="6"/>
                <c:pt idx="0">
                  <c:v>5.8109439657202369E-4</c:v>
                </c:pt>
                <c:pt idx="1">
                  <c:v>5.8117462031240523E-4</c:v>
                </c:pt>
                <c:pt idx="2">
                  <c:v>5.8143268930993595E-4</c:v>
                </c:pt>
                <c:pt idx="3">
                  <c:v>5.7916591668723304E-4</c:v>
                </c:pt>
                <c:pt idx="4">
                  <c:v>5.7814472697642529E-4</c:v>
                </c:pt>
                <c:pt idx="5" formatCode="0.00E+00">
                  <c:v>5.7630598259865993E-4</c:v>
                </c:pt>
              </c:numCache>
            </c:numRef>
          </c:yVal>
          <c:smooth val="0"/>
          <c:extLst>
            <c:ext xmlns:c16="http://schemas.microsoft.com/office/drawing/2014/chart" uri="{C3380CC4-5D6E-409C-BE32-E72D297353CC}">
              <c16:uniqueId val="{00000001-2062-4FCA-AECE-F4F550F58F6B}"/>
            </c:ext>
          </c:extLst>
        </c:ser>
        <c:dLbls>
          <c:showLegendKey val="0"/>
          <c:showVal val="0"/>
          <c:showCatName val="0"/>
          <c:showSerName val="0"/>
          <c:showPercent val="0"/>
          <c:showBubbleSize val="0"/>
        </c:dLbls>
        <c:axId val="581435424"/>
        <c:axId val="489232176"/>
      </c:scatterChart>
      <c:valAx>
        <c:axId val="581435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232176"/>
        <c:crosses val="autoZero"/>
        <c:crossBetween val="midCat"/>
      </c:valAx>
      <c:valAx>
        <c:axId val="489232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4354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NP!$N$12:$N$17</c:f>
              <c:numCache>
                <c:formatCode>General</c:formatCode>
                <c:ptCount val="6"/>
                <c:pt idx="0">
                  <c:v>10</c:v>
                </c:pt>
                <c:pt idx="1">
                  <c:v>25</c:v>
                </c:pt>
                <c:pt idx="2">
                  <c:v>50</c:v>
                </c:pt>
                <c:pt idx="3">
                  <c:v>65</c:v>
                </c:pt>
                <c:pt idx="4">
                  <c:v>75</c:v>
                </c:pt>
                <c:pt idx="5">
                  <c:v>100</c:v>
                </c:pt>
              </c:numCache>
            </c:numRef>
          </c:xVal>
          <c:yVal>
            <c:numRef>
              <c:f>NP!$Q$12:$Q$17</c:f>
              <c:numCache>
                <c:formatCode>General</c:formatCode>
                <c:ptCount val="6"/>
                <c:pt idx="0">
                  <c:v>3.2041838092718715E-3</c:v>
                </c:pt>
                <c:pt idx="1">
                  <c:v>3.2041938206669083E-3</c:v>
                </c:pt>
                <c:pt idx="2" formatCode="0.00E+00">
                  <c:v>3.2076081818700987E-3</c:v>
                </c:pt>
                <c:pt idx="3">
                  <c:v>3.2059416087764294E-3</c:v>
                </c:pt>
                <c:pt idx="4" formatCode="0.00E+00">
                  <c:v>3.2101749361055079E-3</c:v>
                </c:pt>
                <c:pt idx="5" formatCode="0.00E+00">
                  <c:v>3.2178247684421847E-3</c:v>
                </c:pt>
              </c:numCache>
            </c:numRef>
          </c:yVal>
          <c:smooth val="0"/>
          <c:extLst>
            <c:ext xmlns:c16="http://schemas.microsoft.com/office/drawing/2014/chart" uri="{C3380CC4-5D6E-409C-BE32-E72D297353CC}">
              <c16:uniqueId val="{00000000-0FDA-407B-8B6D-5DAF56BD3EC9}"/>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NP!$N$12:$N$17</c:f>
              <c:numCache>
                <c:formatCode>General</c:formatCode>
                <c:ptCount val="6"/>
                <c:pt idx="0">
                  <c:v>10</c:v>
                </c:pt>
                <c:pt idx="1">
                  <c:v>25</c:v>
                </c:pt>
                <c:pt idx="2">
                  <c:v>50</c:v>
                </c:pt>
                <c:pt idx="3">
                  <c:v>65</c:v>
                </c:pt>
                <c:pt idx="4">
                  <c:v>75</c:v>
                </c:pt>
                <c:pt idx="5">
                  <c:v>100</c:v>
                </c:pt>
              </c:numCache>
            </c:numRef>
          </c:xVal>
          <c:yVal>
            <c:numRef>
              <c:f>NP!$R$12:$R$17</c:f>
              <c:numCache>
                <c:formatCode>General</c:formatCode>
                <c:ptCount val="6"/>
                <c:pt idx="0">
                  <c:v>3.172125823733983E-3</c:v>
                </c:pt>
                <c:pt idx="1">
                  <c:v>3.1713694167662021E-3</c:v>
                </c:pt>
                <c:pt idx="2">
                  <c:v>3.1717423947098858E-3</c:v>
                </c:pt>
                <c:pt idx="3">
                  <c:v>3.1711369147515533E-3</c:v>
                </c:pt>
                <c:pt idx="4">
                  <c:v>3.1696585176324596E-3</c:v>
                </c:pt>
                <c:pt idx="5">
                  <c:v>3.1768206720713715E-3</c:v>
                </c:pt>
              </c:numCache>
            </c:numRef>
          </c:yVal>
          <c:smooth val="0"/>
          <c:extLst>
            <c:ext xmlns:c16="http://schemas.microsoft.com/office/drawing/2014/chart" uri="{C3380CC4-5D6E-409C-BE32-E72D297353CC}">
              <c16:uniqueId val="{00000004-0FDA-407B-8B6D-5DAF56BD3EC9}"/>
            </c:ext>
          </c:extLst>
        </c:ser>
        <c:dLbls>
          <c:showLegendKey val="0"/>
          <c:showVal val="0"/>
          <c:showCatName val="0"/>
          <c:showSerName val="0"/>
          <c:showPercent val="0"/>
          <c:showBubbleSize val="0"/>
        </c:dLbls>
        <c:axId val="412565936"/>
        <c:axId val="412566896"/>
      </c:scatterChart>
      <c:valAx>
        <c:axId val="412565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566896"/>
        <c:crosses val="autoZero"/>
        <c:crossBetween val="midCat"/>
      </c:valAx>
      <c:valAx>
        <c:axId val="412566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5659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Sheet2!$B$3:$B$103</c:f>
              <c:numCache>
                <c:formatCode>General</c:formatCode>
                <c:ptCount val="101"/>
                <c:pt idx="0">
                  <c:v>100</c:v>
                </c:pt>
                <c:pt idx="1">
                  <c:v>99.901336421413575</c:v>
                </c:pt>
                <c:pt idx="2">
                  <c:v>99.605735065723906</c:v>
                </c:pt>
                <c:pt idx="3">
                  <c:v>99.114362536434442</c:v>
                </c:pt>
                <c:pt idx="4">
                  <c:v>98.429158056431561</c:v>
                </c:pt>
                <c:pt idx="5">
                  <c:v>97.552825814757682</c:v>
                </c:pt>
                <c:pt idx="6">
                  <c:v>96.488824294412566</c:v>
                </c:pt>
                <c:pt idx="7">
                  <c:v>95.241352623300983</c:v>
                </c:pt>
                <c:pt idx="8">
                  <c:v>93.815334002193168</c:v>
                </c:pt>
                <c:pt idx="9">
                  <c:v>92.216396275100749</c:v>
                </c:pt>
                <c:pt idx="10">
                  <c:v>90.450849718747378</c:v>
                </c:pt>
                <c:pt idx="11">
                  <c:v>88.525662138789457</c:v>
                </c:pt>
                <c:pt idx="12">
                  <c:v>86.448431371070583</c:v>
                </c:pt>
                <c:pt idx="13">
                  <c:v>84.227355296434439</c:v>
                </c:pt>
                <c:pt idx="14">
                  <c:v>81.871199487434481</c:v>
                </c:pt>
                <c:pt idx="15">
                  <c:v>79.389262614623661</c:v>
                </c:pt>
                <c:pt idx="16">
                  <c:v>76.791339748949824</c:v>
                </c:pt>
                <c:pt idx="17">
                  <c:v>74.087683705085766</c:v>
                </c:pt>
                <c:pt idx="18">
                  <c:v>71.288964578253626</c:v>
                </c:pt>
                <c:pt idx="19">
                  <c:v>68.4062276342339</c:v>
                </c:pt>
                <c:pt idx="20">
                  <c:v>65.450849718747378</c:v>
                </c:pt>
                <c:pt idx="21">
                  <c:v>62.434494358242731</c:v>
                </c:pt>
                <c:pt idx="22">
                  <c:v>59.369065729286227</c:v>
                </c:pt>
                <c:pt idx="23">
                  <c:v>56.266661678215222</c:v>
                </c:pt>
                <c:pt idx="24">
                  <c:v>53.139525976465677</c:v>
                </c:pt>
                <c:pt idx="25">
                  <c:v>50</c:v>
                </c:pt>
                <c:pt idx="26">
                  <c:v>46.86047402353433</c:v>
                </c:pt>
                <c:pt idx="27">
                  <c:v>43.733338321784778</c:v>
                </c:pt>
                <c:pt idx="28">
                  <c:v>40.63093427071378</c:v>
                </c:pt>
                <c:pt idx="29">
                  <c:v>37.565505641757269</c:v>
                </c:pt>
                <c:pt idx="30">
                  <c:v>34.549150281252636</c:v>
                </c:pt>
                <c:pt idx="31">
                  <c:v>31.593772365766103</c:v>
                </c:pt>
                <c:pt idx="32">
                  <c:v>28.711035421746367</c:v>
                </c:pt>
                <c:pt idx="33">
                  <c:v>25.912316294914252</c:v>
                </c:pt>
                <c:pt idx="34">
                  <c:v>23.20866025105018</c:v>
                </c:pt>
                <c:pt idx="35">
                  <c:v>20.61073738537635</c:v>
                </c:pt>
                <c:pt idx="36">
                  <c:v>18.128800512565512</c:v>
                </c:pt>
                <c:pt idx="37">
                  <c:v>15.772644703565565</c:v>
                </c:pt>
                <c:pt idx="38">
                  <c:v>13.551568628929434</c:v>
                </c:pt>
                <c:pt idx="39">
                  <c:v>11.474337861210543</c:v>
                </c:pt>
                <c:pt idx="40">
                  <c:v>9.5491502812526328</c:v>
                </c:pt>
                <c:pt idx="41">
                  <c:v>7.7836037248992573</c:v>
                </c:pt>
                <c:pt idx="42">
                  <c:v>6.184665997806821</c:v>
                </c:pt>
                <c:pt idx="43">
                  <c:v>4.7586473766990327</c:v>
                </c:pt>
                <c:pt idx="44">
                  <c:v>3.5111757055874273</c:v>
                </c:pt>
                <c:pt idx="45">
                  <c:v>2.4471741852423232</c:v>
                </c:pt>
                <c:pt idx="46">
                  <c:v>1.5708419435684517</c:v>
                </c:pt>
                <c:pt idx="47">
                  <c:v>0.88563746356556394</c:v>
                </c:pt>
                <c:pt idx="48">
                  <c:v>0.39426493427611176</c:v>
                </c:pt>
                <c:pt idx="49">
                  <c:v>9.8663578586422052E-2</c:v>
                </c:pt>
                <c:pt idx="50">
                  <c:v>0</c:v>
                </c:pt>
                <c:pt idx="51">
                  <c:v>9.8663578586422052E-2</c:v>
                </c:pt>
                <c:pt idx="52">
                  <c:v>0.3942649342761062</c:v>
                </c:pt>
                <c:pt idx="53">
                  <c:v>0.88563746356556394</c:v>
                </c:pt>
                <c:pt idx="54">
                  <c:v>1.5708419435684462</c:v>
                </c:pt>
                <c:pt idx="55">
                  <c:v>2.4471741852423179</c:v>
                </c:pt>
                <c:pt idx="56">
                  <c:v>3.5111757055874215</c:v>
                </c:pt>
                <c:pt idx="57">
                  <c:v>4.7586473766990265</c:v>
                </c:pt>
                <c:pt idx="58">
                  <c:v>6.1846659978068157</c:v>
                </c:pt>
                <c:pt idx="59">
                  <c:v>7.783603724899252</c:v>
                </c:pt>
                <c:pt idx="60">
                  <c:v>9.5491502812526221</c:v>
                </c:pt>
                <c:pt idx="61">
                  <c:v>11.47433786121052</c:v>
                </c:pt>
                <c:pt idx="62">
                  <c:v>13.551568628929422</c:v>
                </c:pt>
                <c:pt idx="63">
                  <c:v>15.772644703565552</c:v>
                </c:pt>
                <c:pt idx="64">
                  <c:v>18.128800512565522</c:v>
                </c:pt>
                <c:pt idx="65">
                  <c:v>20.610737385376339</c:v>
                </c:pt>
                <c:pt idx="66">
                  <c:v>23.208660251050144</c:v>
                </c:pt>
                <c:pt idx="67">
                  <c:v>25.912316294914241</c:v>
                </c:pt>
                <c:pt idx="68">
                  <c:v>28.711035421746356</c:v>
                </c:pt>
                <c:pt idx="69">
                  <c:v>31.59377236576611</c:v>
                </c:pt>
                <c:pt idx="70">
                  <c:v>34.549150281252622</c:v>
                </c:pt>
                <c:pt idx="71">
                  <c:v>37.565505641757234</c:v>
                </c:pt>
                <c:pt idx="72">
                  <c:v>40.630934270713773</c:v>
                </c:pt>
                <c:pt idx="73">
                  <c:v>43.733338321784771</c:v>
                </c:pt>
                <c:pt idx="74">
                  <c:v>46.860474023534337</c:v>
                </c:pt>
                <c:pt idx="75">
                  <c:v>49.999999999999986</c:v>
                </c:pt>
                <c:pt idx="76">
                  <c:v>53.139525976465642</c:v>
                </c:pt>
                <c:pt idx="77">
                  <c:v>56.266661678215215</c:v>
                </c:pt>
                <c:pt idx="78">
                  <c:v>59.36906572928622</c:v>
                </c:pt>
                <c:pt idx="79">
                  <c:v>62.434494358242745</c:v>
                </c:pt>
                <c:pt idx="80">
                  <c:v>65.450849718747364</c:v>
                </c:pt>
                <c:pt idx="81">
                  <c:v>68.406227634233872</c:v>
                </c:pt>
                <c:pt idx="82">
                  <c:v>71.288964578253584</c:v>
                </c:pt>
                <c:pt idx="83">
                  <c:v>74.08768370508578</c:v>
                </c:pt>
                <c:pt idx="84">
                  <c:v>76.791339748949838</c:v>
                </c:pt>
                <c:pt idx="85">
                  <c:v>79.389262614623647</c:v>
                </c:pt>
                <c:pt idx="86">
                  <c:v>81.871199487434467</c:v>
                </c:pt>
                <c:pt idx="87">
                  <c:v>84.227355296434396</c:v>
                </c:pt>
                <c:pt idx="88">
                  <c:v>86.448431371070583</c:v>
                </c:pt>
                <c:pt idx="89">
                  <c:v>88.525662138789471</c:v>
                </c:pt>
                <c:pt idx="90">
                  <c:v>90.450849718747378</c:v>
                </c:pt>
                <c:pt idx="91">
                  <c:v>92.216396275100749</c:v>
                </c:pt>
                <c:pt idx="92">
                  <c:v>93.815334002193154</c:v>
                </c:pt>
                <c:pt idx="93">
                  <c:v>95.241352623300983</c:v>
                </c:pt>
                <c:pt idx="94">
                  <c:v>96.488824294412566</c:v>
                </c:pt>
                <c:pt idx="95">
                  <c:v>97.552825814757682</c:v>
                </c:pt>
                <c:pt idx="96">
                  <c:v>98.429158056431561</c:v>
                </c:pt>
                <c:pt idx="97">
                  <c:v>99.114362536434413</c:v>
                </c:pt>
                <c:pt idx="98">
                  <c:v>99.605735065723906</c:v>
                </c:pt>
                <c:pt idx="99">
                  <c:v>99.901336421413575</c:v>
                </c:pt>
                <c:pt idx="100">
                  <c:v>100</c:v>
                </c:pt>
              </c:numCache>
            </c:numRef>
          </c:xVal>
          <c:yVal>
            <c:numRef>
              <c:f>Sheet2!$C$3:$C$103</c:f>
              <c:numCache>
                <c:formatCode>General</c:formatCode>
                <c:ptCount val="101"/>
                <c:pt idx="0">
                  <c:v>367.87944117144235</c:v>
                </c:pt>
                <c:pt idx="1">
                  <c:v>368.24258330804105</c:v>
                </c:pt>
                <c:pt idx="2">
                  <c:v>369.3327238177838</c:v>
                </c:pt>
                <c:pt idx="3">
                  <c:v>371.15198938946156</c:v>
                </c:pt>
                <c:pt idx="4">
                  <c:v>373.70387227195147</c:v>
                </c:pt>
                <c:pt idx="5">
                  <c:v>376.9931512489386</c:v>
                </c:pt>
                <c:pt idx="6">
                  <c:v>381.02577967933769</c:v>
                </c:pt>
                <c:pt idx="7">
                  <c:v>385.80873934764168</c:v>
                </c:pt>
                <c:pt idx="8">
                  <c:v>391.34985860893283</c:v>
                </c:pt>
                <c:pt idx="9">
                  <c:v>397.65759313084288</c:v>
                </c:pt>
                <c:pt idx="10">
                  <c:v>404.74076744894404</c:v>
                </c:pt>
                <c:pt idx="11">
                  <c:v>412.608275583487</c:v>
                </c:pt>
                <c:pt idx="12">
                  <c:v>421.2687391353362</c:v>
                </c:pt>
                <c:pt idx="13">
                  <c:v>430.73012160884269</c:v>
                </c:pt>
                <c:pt idx="14">
                  <c:v>440.99929822003571</c:v>
                </c:pt>
                <c:pt idx="15">
                  <c:v>452.08158115903552</c:v>
                </c:pt>
                <c:pt idx="16">
                  <c:v>463.98020120201954</c:v>
                </c:pt>
                <c:pt idx="17">
                  <c:v>476.69574772172791</c:v>
                </c:pt>
                <c:pt idx="18">
                  <c:v>490.22557053106016</c:v>
                </c:pt>
                <c:pt idx="19">
                  <c:v>504.5631486077221</c:v>
                </c:pt>
                <c:pt idx="20">
                  <c:v>519.69743257414666</c:v>
                </c:pt>
                <c:pt idx="21">
                  <c:v>535.61216981794826</c:v>
                </c:pt>
                <c:pt idx="22">
                  <c:v>552.2852232908499</c:v>
                </c:pt>
                <c:pt idx="23">
                  <c:v>569.68789725861529</c:v>
                </c:pt>
                <c:pt idx="24">
                  <c:v>587.78428551382206</c:v>
                </c:pt>
                <c:pt idx="25">
                  <c:v>606.53065971263345</c:v>
                </c:pt>
                <c:pt idx="26">
                  <c:v>625.87491744501813</c:v>
                </c:pt>
                <c:pt idx="27">
                  <c:v>645.75611127023797</c:v>
                </c:pt>
                <c:pt idx="28">
                  <c:v>666.1040811111942</c:v>
                </c:pt>
                <c:pt idx="29">
                  <c:v>686.83921296351912</c:v>
                </c:pt>
                <c:pt idx="30">
                  <c:v>707.87234670233988</c:v>
                </c:pt>
                <c:pt idx="31">
                  <c:v>729.10485473732842</c:v>
                </c:pt>
                <c:pt idx="32">
                  <c:v>750.42891127225266</c:v>
                </c:pt>
                <c:pt idx="33">
                  <c:v>771.72796889766391</c:v>
                </c:pt>
                <c:pt idx="34">
                  <c:v>792.8774551551727</c:v>
                </c:pt>
                <c:pt idx="35">
                  <c:v>813.74569658043174</c:v>
                </c:pt>
                <c:pt idx="36">
                  <c:v>834.19507163907019</c:v>
                </c:pt>
                <c:pt idx="37">
                  <c:v>854.0833870576696</c:v>
                </c:pt>
                <c:pt idx="38">
                  <c:v>873.26546452633374</c:v>
                </c:pt>
                <c:pt idx="39">
                  <c:v>891.594916876566</c:v>
                </c:pt>
                <c:pt idx="40">
                  <c:v>908.92608493620151</c:v>
                </c:pt>
                <c:pt idx="41">
                  <c:v>925.11609868945072</c:v>
                </c:pt>
                <c:pt idx="42">
                  <c:v>940.02701950393703</c:v>
                </c:pt>
                <c:pt idx="43">
                  <c:v>953.52801440808275</c:v>
                </c:pt>
                <c:pt idx="44">
                  <c:v>965.49750906891643</c:v>
                </c:pt>
                <c:pt idx="45">
                  <c:v>975.82526354310789</c:v>
                </c:pt>
                <c:pt idx="46">
                  <c:v>984.41431429356271</c:v>
                </c:pt>
                <c:pt idx="47">
                  <c:v>991.18272753056624</c:v>
                </c:pt>
                <c:pt idx="48">
                  <c:v>996.06511269481064</c:v>
                </c:pt>
                <c:pt idx="49">
                  <c:v>999.01385077918883</c:v>
                </c:pt>
                <c:pt idx="50">
                  <c:v>1000</c:v>
                </c:pt>
                <c:pt idx="51">
                  <c:v>999.01385077918883</c:v>
                </c:pt>
                <c:pt idx="52">
                  <c:v>996.06511269481075</c:v>
                </c:pt>
                <c:pt idx="53">
                  <c:v>991.18272753056624</c:v>
                </c:pt>
                <c:pt idx="54">
                  <c:v>984.41431429356282</c:v>
                </c:pt>
                <c:pt idx="55">
                  <c:v>975.82526354310789</c:v>
                </c:pt>
                <c:pt idx="56">
                  <c:v>965.49750906891654</c:v>
                </c:pt>
                <c:pt idx="57">
                  <c:v>953.52801440808275</c:v>
                </c:pt>
                <c:pt idx="58">
                  <c:v>940.02701950393703</c:v>
                </c:pt>
                <c:pt idx="59">
                  <c:v>925.11609868945072</c:v>
                </c:pt>
                <c:pt idx="60">
                  <c:v>908.92608493620162</c:v>
                </c:pt>
                <c:pt idx="61">
                  <c:v>891.59491687656623</c:v>
                </c:pt>
                <c:pt idx="62">
                  <c:v>873.26546452633374</c:v>
                </c:pt>
                <c:pt idx="63">
                  <c:v>854.0833870576696</c:v>
                </c:pt>
                <c:pt idx="64">
                  <c:v>834.19507163907019</c:v>
                </c:pt>
                <c:pt idx="65">
                  <c:v>813.74569658043174</c:v>
                </c:pt>
                <c:pt idx="66">
                  <c:v>792.87745515517304</c:v>
                </c:pt>
                <c:pt idx="67">
                  <c:v>771.72796889766403</c:v>
                </c:pt>
                <c:pt idx="68">
                  <c:v>750.42891127225278</c:v>
                </c:pt>
                <c:pt idx="69">
                  <c:v>729.10485473732842</c:v>
                </c:pt>
                <c:pt idx="70">
                  <c:v>707.87234670234</c:v>
                </c:pt>
                <c:pt idx="71">
                  <c:v>686.83921296351934</c:v>
                </c:pt>
                <c:pt idx="72">
                  <c:v>666.1040811111942</c:v>
                </c:pt>
                <c:pt idx="73">
                  <c:v>645.75611127023797</c:v>
                </c:pt>
                <c:pt idx="74">
                  <c:v>625.87491744501813</c:v>
                </c:pt>
                <c:pt idx="75">
                  <c:v>606.53065971263356</c:v>
                </c:pt>
                <c:pt idx="76">
                  <c:v>587.78428551382217</c:v>
                </c:pt>
                <c:pt idx="77">
                  <c:v>569.68789725861529</c:v>
                </c:pt>
                <c:pt idx="78">
                  <c:v>552.2852232908499</c:v>
                </c:pt>
                <c:pt idx="79">
                  <c:v>535.61216981794814</c:v>
                </c:pt>
                <c:pt idx="80">
                  <c:v>519.69743257414666</c:v>
                </c:pt>
                <c:pt idx="81">
                  <c:v>504.56314860772221</c:v>
                </c:pt>
                <c:pt idx="82">
                  <c:v>490.22557053106033</c:v>
                </c:pt>
                <c:pt idx="83">
                  <c:v>476.6957477217278</c:v>
                </c:pt>
                <c:pt idx="84">
                  <c:v>463.98020120201949</c:v>
                </c:pt>
                <c:pt idx="85">
                  <c:v>452.08158115903558</c:v>
                </c:pt>
                <c:pt idx="86">
                  <c:v>440.99929822003577</c:v>
                </c:pt>
                <c:pt idx="87">
                  <c:v>430.73012160884292</c:v>
                </c:pt>
                <c:pt idx="88">
                  <c:v>421.2687391353362</c:v>
                </c:pt>
                <c:pt idx="89">
                  <c:v>412.60827558348694</c:v>
                </c:pt>
                <c:pt idx="90">
                  <c:v>404.74076744894404</c:v>
                </c:pt>
                <c:pt idx="91">
                  <c:v>397.65759313084288</c:v>
                </c:pt>
                <c:pt idx="92">
                  <c:v>391.34985860893295</c:v>
                </c:pt>
                <c:pt idx="93">
                  <c:v>385.80873934764168</c:v>
                </c:pt>
                <c:pt idx="94">
                  <c:v>381.02577967933769</c:v>
                </c:pt>
                <c:pt idx="95">
                  <c:v>376.9931512489386</c:v>
                </c:pt>
                <c:pt idx="96">
                  <c:v>373.70387227195147</c:v>
                </c:pt>
                <c:pt idx="97">
                  <c:v>371.15198938946168</c:v>
                </c:pt>
                <c:pt idx="98">
                  <c:v>369.3327238177838</c:v>
                </c:pt>
                <c:pt idx="99">
                  <c:v>368.24258330804105</c:v>
                </c:pt>
                <c:pt idx="100">
                  <c:v>367.87944117144235</c:v>
                </c:pt>
              </c:numCache>
            </c:numRef>
          </c:yVal>
          <c:smooth val="0"/>
          <c:extLst>
            <c:ext xmlns:c16="http://schemas.microsoft.com/office/drawing/2014/chart" uri="{C3380CC4-5D6E-409C-BE32-E72D297353CC}">
              <c16:uniqueId val="{00000000-3A99-40BF-8CB6-4B229CEFC5BB}"/>
            </c:ext>
          </c:extLst>
        </c:ser>
        <c:dLbls>
          <c:showLegendKey val="0"/>
          <c:showVal val="0"/>
          <c:showCatName val="0"/>
          <c:showSerName val="0"/>
          <c:showPercent val="0"/>
          <c:showBubbleSize val="0"/>
        </c:dLbls>
        <c:axId val="2043702736"/>
        <c:axId val="2043698896"/>
      </c:scatterChart>
      <c:valAx>
        <c:axId val="2043702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698896"/>
        <c:crosses val="autoZero"/>
        <c:crossBetween val="midCat"/>
      </c:valAx>
      <c:valAx>
        <c:axId val="2043698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7027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Sheet2!$A$3:$A$103</c:f>
              <c:numCache>
                <c:formatCode>General</c:formatCode>
                <c:ptCount val="101"/>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pt idx="20">
                  <c:v>2</c:v>
                </c:pt>
                <c:pt idx="21">
                  <c:v>2.1</c:v>
                </c:pt>
                <c:pt idx="22">
                  <c:v>2.2000000000000002</c:v>
                </c:pt>
                <c:pt idx="23">
                  <c:v>2.2999999999999998</c:v>
                </c:pt>
                <c:pt idx="24">
                  <c:v>2.4</c:v>
                </c:pt>
                <c:pt idx="25">
                  <c:v>2.5</c:v>
                </c:pt>
                <c:pt idx="26">
                  <c:v>2.6</c:v>
                </c:pt>
                <c:pt idx="27">
                  <c:v>2.7</c:v>
                </c:pt>
                <c:pt idx="28">
                  <c:v>2.8</c:v>
                </c:pt>
                <c:pt idx="29">
                  <c:v>2.9</c:v>
                </c:pt>
                <c:pt idx="30">
                  <c:v>3</c:v>
                </c:pt>
                <c:pt idx="31">
                  <c:v>3.1</c:v>
                </c:pt>
                <c:pt idx="32">
                  <c:v>3.2</c:v>
                </c:pt>
                <c:pt idx="33">
                  <c:v>3.3</c:v>
                </c:pt>
                <c:pt idx="34">
                  <c:v>3.4</c:v>
                </c:pt>
                <c:pt idx="35">
                  <c:v>3.5</c:v>
                </c:pt>
                <c:pt idx="36">
                  <c:v>3.6</c:v>
                </c:pt>
                <c:pt idx="37">
                  <c:v>3.7</c:v>
                </c:pt>
                <c:pt idx="38">
                  <c:v>3.8</c:v>
                </c:pt>
                <c:pt idx="39">
                  <c:v>3.9</c:v>
                </c:pt>
                <c:pt idx="40">
                  <c:v>4</c:v>
                </c:pt>
                <c:pt idx="41">
                  <c:v>4.0999999999999996</c:v>
                </c:pt>
                <c:pt idx="42">
                  <c:v>4.2</c:v>
                </c:pt>
                <c:pt idx="43">
                  <c:v>4.3</c:v>
                </c:pt>
                <c:pt idx="44">
                  <c:v>4.4000000000000004</c:v>
                </c:pt>
                <c:pt idx="45">
                  <c:v>4.5</c:v>
                </c:pt>
                <c:pt idx="46">
                  <c:v>4.5999999999999996</c:v>
                </c:pt>
                <c:pt idx="47">
                  <c:v>4.7</c:v>
                </c:pt>
                <c:pt idx="48">
                  <c:v>4.8</c:v>
                </c:pt>
                <c:pt idx="49">
                  <c:v>4.9000000000000004</c:v>
                </c:pt>
                <c:pt idx="50">
                  <c:v>5</c:v>
                </c:pt>
                <c:pt idx="51">
                  <c:v>5.0999999999999996</c:v>
                </c:pt>
                <c:pt idx="52">
                  <c:v>5.2</c:v>
                </c:pt>
                <c:pt idx="53">
                  <c:v>5.3</c:v>
                </c:pt>
                <c:pt idx="54">
                  <c:v>5.4</c:v>
                </c:pt>
                <c:pt idx="55">
                  <c:v>5.5</c:v>
                </c:pt>
                <c:pt idx="56">
                  <c:v>5.6</c:v>
                </c:pt>
                <c:pt idx="57">
                  <c:v>5.7</c:v>
                </c:pt>
                <c:pt idx="58">
                  <c:v>5.8</c:v>
                </c:pt>
                <c:pt idx="59">
                  <c:v>5.9</c:v>
                </c:pt>
                <c:pt idx="60">
                  <c:v>6</c:v>
                </c:pt>
                <c:pt idx="61">
                  <c:v>6.1</c:v>
                </c:pt>
                <c:pt idx="62">
                  <c:v>6.2</c:v>
                </c:pt>
                <c:pt idx="63">
                  <c:v>6.3</c:v>
                </c:pt>
                <c:pt idx="64">
                  <c:v>6.4</c:v>
                </c:pt>
                <c:pt idx="65">
                  <c:v>6.5</c:v>
                </c:pt>
                <c:pt idx="66">
                  <c:v>6.6</c:v>
                </c:pt>
                <c:pt idx="67">
                  <c:v>6.7</c:v>
                </c:pt>
                <c:pt idx="68">
                  <c:v>6.8</c:v>
                </c:pt>
                <c:pt idx="69">
                  <c:v>6.9</c:v>
                </c:pt>
                <c:pt idx="70">
                  <c:v>7</c:v>
                </c:pt>
                <c:pt idx="71">
                  <c:v>7.1</c:v>
                </c:pt>
                <c:pt idx="72">
                  <c:v>7.2</c:v>
                </c:pt>
                <c:pt idx="73">
                  <c:v>7.3</c:v>
                </c:pt>
                <c:pt idx="74">
                  <c:v>7.4</c:v>
                </c:pt>
                <c:pt idx="75">
                  <c:v>7.5</c:v>
                </c:pt>
                <c:pt idx="76">
                  <c:v>7.6</c:v>
                </c:pt>
                <c:pt idx="77">
                  <c:v>7.7</c:v>
                </c:pt>
                <c:pt idx="78">
                  <c:v>7.8</c:v>
                </c:pt>
                <c:pt idx="79">
                  <c:v>7.9</c:v>
                </c:pt>
                <c:pt idx="80">
                  <c:v>8</c:v>
                </c:pt>
                <c:pt idx="81">
                  <c:v>8.1</c:v>
                </c:pt>
                <c:pt idx="82">
                  <c:v>8.1999999999999993</c:v>
                </c:pt>
                <c:pt idx="83">
                  <c:v>8.3000000000000007</c:v>
                </c:pt>
                <c:pt idx="84">
                  <c:v>8.4</c:v>
                </c:pt>
                <c:pt idx="85">
                  <c:v>8.5</c:v>
                </c:pt>
                <c:pt idx="86">
                  <c:v>8.6</c:v>
                </c:pt>
                <c:pt idx="87">
                  <c:v>8.6999999999999993</c:v>
                </c:pt>
                <c:pt idx="88">
                  <c:v>8.8000000000000007</c:v>
                </c:pt>
                <c:pt idx="89">
                  <c:v>8.9</c:v>
                </c:pt>
                <c:pt idx="90">
                  <c:v>9</c:v>
                </c:pt>
                <c:pt idx="91">
                  <c:v>9.1</c:v>
                </c:pt>
                <c:pt idx="92">
                  <c:v>9.1999999999999993</c:v>
                </c:pt>
                <c:pt idx="93">
                  <c:v>9.3000000000000007</c:v>
                </c:pt>
                <c:pt idx="94">
                  <c:v>9.4</c:v>
                </c:pt>
                <c:pt idx="95">
                  <c:v>9.5</c:v>
                </c:pt>
                <c:pt idx="96">
                  <c:v>9.6</c:v>
                </c:pt>
                <c:pt idx="97">
                  <c:v>9.6999999999999993</c:v>
                </c:pt>
                <c:pt idx="98">
                  <c:v>9.8000000000000007</c:v>
                </c:pt>
                <c:pt idx="99">
                  <c:v>9.9</c:v>
                </c:pt>
                <c:pt idx="100">
                  <c:v>10</c:v>
                </c:pt>
              </c:numCache>
            </c:numRef>
          </c:xVal>
          <c:yVal>
            <c:numRef>
              <c:f>Sheet2!$C$3:$C$103</c:f>
              <c:numCache>
                <c:formatCode>General</c:formatCode>
                <c:ptCount val="101"/>
                <c:pt idx="0">
                  <c:v>367.87944117144235</c:v>
                </c:pt>
                <c:pt idx="1">
                  <c:v>368.24258330804105</c:v>
                </c:pt>
                <c:pt idx="2">
                  <c:v>369.3327238177838</c:v>
                </c:pt>
                <c:pt idx="3">
                  <c:v>371.15198938946156</c:v>
                </c:pt>
                <c:pt idx="4">
                  <c:v>373.70387227195147</c:v>
                </c:pt>
                <c:pt idx="5">
                  <c:v>376.9931512489386</c:v>
                </c:pt>
                <c:pt idx="6">
                  <c:v>381.02577967933769</c:v>
                </c:pt>
                <c:pt idx="7">
                  <c:v>385.80873934764168</c:v>
                </c:pt>
                <c:pt idx="8">
                  <c:v>391.34985860893283</c:v>
                </c:pt>
                <c:pt idx="9">
                  <c:v>397.65759313084288</c:v>
                </c:pt>
                <c:pt idx="10">
                  <c:v>404.74076744894404</c:v>
                </c:pt>
                <c:pt idx="11">
                  <c:v>412.608275583487</c:v>
                </c:pt>
                <c:pt idx="12">
                  <c:v>421.2687391353362</c:v>
                </c:pt>
                <c:pt idx="13">
                  <c:v>430.73012160884269</c:v>
                </c:pt>
                <c:pt idx="14">
                  <c:v>440.99929822003571</c:v>
                </c:pt>
                <c:pt idx="15">
                  <c:v>452.08158115903552</c:v>
                </c:pt>
                <c:pt idx="16">
                  <c:v>463.98020120201954</c:v>
                </c:pt>
                <c:pt idx="17">
                  <c:v>476.69574772172791</c:v>
                </c:pt>
                <c:pt idx="18">
                  <c:v>490.22557053106016</c:v>
                </c:pt>
                <c:pt idx="19">
                  <c:v>504.5631486077221</c:v>
                </c:pt>
                <c:pt idx="20">
                  <c:v>519.69743257414666</c:v>
                </c:pt>
                <c:pt idx="21">
                  <c:v>535.61216981794826</c:v>
                </c:pt>
                <c:pt idx="22">
                  <c:v>552.2852232908499</c:v>
                </c:pt>
                <c:pt idx="23">
                  <c:v>569.68789725861529</c:v>
                </c:pt>
                <c:pt idx="24">
                  <c:v>587.78428551382206</c:v>
                </c:pt>
                <c:pt idx="25">
                  <c:v>606.53065971263345</c:v>
                </c:pt>
                <c:pt idx="26">
                  <c:v>625.87491744501813</c:v>
                </c:pt>
                <c:pt idx="27">
                  <c:v>645.75611127023797</c:v>
                </c:pt>
                <c:pt idx="28">
                  <c:v>666.1040811111942</c:v>
                </c:pt>
                <c:pt idx="29">
                  <c:v>686.83921296351912</c:v>
                </c:pt>
                <c:pt idx="30">
                  <c:v>707.87234670233988</c:v>
                </c:pt>
                <c:pt idx="31">
                  <c:v>729.10485473732842</c:v>
                </c:pt>
                <c:pt idx="32">
                  <c:v>750.42891127225266</c:v>
                </c:pt>
                <c:pt idx="33">
                  <c:v>771.72796889766391</c:v>
                </c:pt>
                <c:pt idx="34">
                  <c:v>792.8774551551727</c:v>
                </c:pt>
                <c:pt idx="35">
                  <c:v>813.74569658043174</c:v>
                </c:pt>
                <c:pt idx="36">
                  <c:v>834.19507163907019</c:v>
                </c:pt>
                <c:pt idx="37">
                  <c:v>854.0833870576696</c:v>
                </c:pt>
                <c:pt idx="38">
                  <c:v>873.26546452633374</c:v>
                </c:pt>
                <c:pt idx="39">
                  <c:v>891.594916876566</c:v>
                </c:pt>
                <c:pt idx="40">
                  <c:v>908.92608493620151</c:v>
                </c:pt>
                <c:pt idx="41">
                  <c:v>925.11609868945072</c:v>
                </c:pt>
                <c:pt idx="42">
                  <c:v>940.02701950393703</c:v>
                </c:pt>
                <c:pt idx="43">
                  <c:v>953.52801440808275</c:v>
                </c:pt>
                <c:pt idx="44">
                  <c:v>965.49750906891643</c:v>
                </c:pt>
                <c:pt idx="45">
                  <c:v>975.82526354310789</c:v>
                </c:pt>
                <c:pt idx="46">
                  <c:v>984.41431429356271</c:v>
                </c:pt>
                <c:pt idx="47">
                  <c:v>991.18272753056624</c:v>
                </c:pt>
                <c:pt idx="48">
                  <c:v>996.06511269481064</c:v>
                </c:pt>
                <c:pt idx="49">
                  <c:v>999.01385077918883</c:v>
                </c:pt>
                <c:pt idx="50">
                  <c:v>1000</c:v>
                </c:pt>
                <c:pt idx="51">
                  <c:v>999.01385077918883</c:v>
                </c:pt>
                <c:pt idx="52">
                  <c:v>996.06511269481075</c:v>
                </c:pt>
                <c:pt idx="53">
                  <c:v>991.18272753056624</c:v>
                </c:pt>
                <c:pt idx="54">
                  <c:v>984.41431429356282</c:v>
                </c:pt>
                <c:pt idx="55">
                  <c:v>975.82526354310789</c:v>
                </c:pt>
                <c:pt idx="56">
                  <c:v>965.49750906891654</c:v>
                </c:pt>
                <c:pt idx="57">
                  <c:v>953.52801440808275</c:v>
                </c:pt>
                <c:pt idx="58">
                  <c:v>940.02701950393703</c:v>
                </c:pt>
                <c:pt idx="59">
                  <c:v>925.11609868945072</c:v>
                </c:pt>
                <c:pt idx="60">
                  <c:v>908.92608493620162</c:v>
                </c:pt>
                <c:pt idx="61">
                  <c:v>891.59491687656623</c:v>
                </c:pt>
                <c:pt idx="62">
                  <c:v>873.26546452633374</c:v>
                </c:pt>
                <c:pt idx="63">
                  <c:v>854.0833870576696</c:v>
                </c:pt>
                <c:pt idx="64">
                  <c:v>834.19507163907019</c:v>
                </c:pt>
                <c:pt idx="65">
                  <c:v>813.74569658043174</c:v>
                </c:pt>
                <c:pt idx="66">
                  <c:v>792.87745515517304</c:v>
                </c:pt>
                <c:pt idx="67">
                  <c:v>771.72796889766403</c:v>
                </c:pt>
                <c:pt idx="68">
                  <c:v>750.42891127225278</c:v>
                </c:pt>
                <c:pt idx="69">
                  <c:v>729.10485473732842</c:v>
                </c:pt>
                <c:pt idx="70">
                  <c:v>707.87234670234</c:v>
                </c:pt>
                <c:pt idx="71">
                  <c:v>686.83921296351934</c:v>
                </c:pt>
                <c:pt idx="72">
                  <c:v>666.1040811111942</c:v>
                </c:pt>
                <c:pt idx="73">
                  <c:v>645.75611127023797</c:v>
                </c:pt>
                <c:pt idx="74">
                  <c:v>625.87491744501813</c:v>
                </c:pt>
                <c:pt idx="75">
                  <c:v>606.53065971263356</c:v>
                </c:pt>
                <c:pt idx="76">
                  <c:v>587.78428551382217</c:v>
                </c:pt>
                <c:pt idx="77">
                  <c:v>569.68789725861529</c:v>
                </c:pt>
                <c:pt idx="78">
                  <c:v>552.2852232908499</c:v>
                </c:pt>
                <c:pt idx="79">
                  <c:v>535.61216981794814</c:v>
                </c:pt>
                <c:pt idx="80">
                  <c:v>519.69743257414666</c:v>
                </c:pt>
                <c:pt idx="81">
                  <c:v>504.56314860772221</c:v>
                </c:pt>
                <c:pt idx="82">
                  <c:v>490.22557053106033</c:v>
                </c:pt>
                <c:pt idx="83">
                  <c:v>476.6957477217278</c:v>
                </c:pt>
                <c:pt idx="84">
                  <c:v>463.98020120201949</c:v>
                </c:pt>
                <c:pt idx="85">
                  <c:v>452.08158115903558</c:v>
                </c:pt>
                <c:pt idx="86">
                  <c:v>440.99929822003577</c:v>
                </c:pt>
                <c:pt idx="87">
                  <c:v>430.73012160884292</c:v>
                </c:pt>
                <c:pt idx="88">
                  <c:v>421.2687391353362</c:v>
                </c:pt>
                <c:pt idx="89">
                  <c:v>412.60827558348694</c:v>
                </c:pt>
                <c:pt idx="90">
                  <c:v>404.74076744894404</c:v>
                </c:pt>
                <c:pt idx="91">
                  <c:v>397.65759313084288</c:v>
                </c:pt>
                <c:pt idx="92">
                  <c:v>391.34985860893295</c:v>
                </c:pt>
                <c:pt idx="93">
                  <c:v>385.80873934764168</c:v>
                </c:pt>
                <c:pt idx="94">
                  <c:v>381.02577967933769</c:v>
                </c:pt>
                <c:pt idx="95">
                  <c:v>376.9931512489386</c:v>
                </c:pt>
                <c:pt idx="96">
                  <c:v>373.70387227195147</c:v>
                </c:pt>
                <c:pt idx="97">
                  <c:v>371.15198938946168</c:v>
                </c:pt>
                <c:pt idx="98">
                  <c:v>369.3327238177838</c:v>
                </c:pt>
                <c:pt idx="99">
                  <c:v>368.24258330804105</c:v>
                </c:pt>
                <c:pt idx="100">
                  <c:v>367.87944117144235</c:v>
                </c:pt>
              </c:numCache>
            </c:numRef>
          </c:yVal>
          <c:smooth val="0"/>
          <c:extLst>
            <c:ext xmlns:c16="http://schemas.microsoft.com/office/drawing/2014/chart" uri="{C3380CC4-5D6E-409C-BE32-E72D297353CC}">
              <c16:uniqueId val="{00000000-37FF-4E28-8490-9599CA57AD8B}"/>
            </c:ext>
          </c:extLst>
        </c:ser>
        <c:dLbls>
          <c:showLegendKey val="0"/>
          <c:showVal val="0"/>
          <c:showCatName val="0"/>
          <c:showSerName val="0"/>
          <c:showPercent val="0"/>
          <c:showBubbleSize val="0"/>
        </c:dLbls>
        <c:axId val="1248111984"/>
        <c:axId val="1248112464"/>
      </c:scatterChart>
      <c:valAx>
        <c:axId val="1248111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112464"/>
        <c:crosses val="autoZero"/>
        <c:crossBetween val="midCat"/>
      </c:valAx>
      <c:valAx>
        <c:axId val="1248112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1119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Sheet2!$A$4:$A$103</c:f>
              <c:numCache>
                <c:formatCode>General</c:formatCode>
                <c:ptCount val="100"/>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3.1</c:v>
                </c:pt>
                <c:pt idx="31">
                  <c:v>3.2</c:v>
                </c:pt>
                <c:pt idx="32">
                  <c:v>3.3</c:v>
                </c:pt>
                <c:pt idx="33">
                  <c:v>3.4</c:v>
                </c:pt>
                <c:pt idx="34">
                  <c:v>3.5</c:v>
                </c:pt>
                <c:pt idx="35">
                  <c:v>3.6</c:v>
                </c:pt>
                <c:pt idx="36">
                  <c:v>3.7</c:v>
                </c:pt>
                <c:pt idx="37">
                  <c:v>3.8</c:v>
                </c:pt>
                <c:pt idx="38">
                  <c:v>3.9</c:v>
                </c:pt>
                <c:pt idx="39">
                  <c:v>4</c:v>
                </c:pt>
                <c:pt idx="40">
                  <c:v>4.0999999999999996</c:v>
                </c:pt>
                <c:pt idx="41">
                  <c:v>4.2</c:v>
                </c:pt>
                <c:pt idx="42">
                  <c:v>4.3</c:v>
                </c:pt>
                <c:pt idx="43">
                  <c:v>4.4000000000000004</c:v>
                </c:pt>
                <c:pt idx="44">
                  <c:v>4.5</c:v>
                </c:pt>
                <c:pt idx="45">
                  <c:v>4.5999999999999996</c:v>
                </c:pt>
                <c:pt idx="46">
                  <c:v>4.7</c:v>
                </c:pt>
                <c:pt idx="47">
                  <c:v>4.8</c:v>
                </c:pt>
                <c:pt idx="48">
                  <c:v>4.9000000000000004</c:v>
                </c:pt>
                <c:pt idx="49">
                  <c:v>5</c:v>
                </c:pt>
                <c:pt idx="50">
                  <c:v>5.0999999999999996</c:v>
                </c:pt>
                <c:pt idx="51">
                  <c:v>5.2</c:v>
                </c:pt>
                <c:pt idx="52">
                  <c:v>5.3</c:v>
                </c:pt>
                <c:pt idx="53">
                  <c:v>5.4</c:v>
                </c:pt>
                <c:pt idx="54">
                  <c:v>5.5</c:v>
                </c:pt>
                <c:pt idx="55">
                  <c:v>5.6</c:v>
                </c:pt>
                <c:pt idx="56">
                  <c:v>5.7</c:v>
                </c:pt>
                <c:pt idx="57">
                  <c:v>5.8</c:v>
                </c:pt>
                <c:pt idx="58">
                  <c:v>5.9</c:v>
                </c:pt>
                <c:pt idx="59">
                  <c:v>6</c:v>
                </c:pt>
                <c:pt idx="60">
                  <c:v>6.1</c:v>
                </c:pt>
                <c:pt idx="61">
                  <c:v>6.2</c:v>
                </c:pt>
                <c:pt idx="62">
                  <c:v>6.3</c:v>
                </c:pt>
                <c:pt idx="63">
                  <c:v>6.4</c:v>
                </c:pt>
                <c:pt idx="64">
                  <c:v>6.5</c:v>
                </c:pt>
                <c:pt idx="65">
                  <c:v>6.6</c:v>
                </c:pt>
                <c:pt idx="66">
                  <c:v>6.7</c:v>
                </c:pt>
                <c:pt idx="67">
                  <c:v>6.8</c:v>
                </c:pt>
                <c:pt idx="68">
                  <c:v>6.9</c:v>
                </c:pt>
                <c:pt idx="69">
                  <c:v>7</c:v>
                </c:pt>
                <c:pt idx="70">
                  <c:v>7.1</c:v>
                </c:pt>
                <c:pt idx="71">
                  <c:v>7.2</c:v>
                </c:pt>
                <c:pt idx="72">
                  <c:v>7.3</c:v>
                </c:pt>
                <c:pt idx="73">
                  <c:v>7.4</c:v>
                </c:pt>
                <c:pt idx="74">
                  <c:v>7.5</c:v>
                </c:pt>
                <c:pt idx="75">
                  <c:v>7.6</c:v>
                </c:pt>
                <c:pt idx="76">
                  <c:v>7.7</c:v>
                </c:pt>
                <c:pt idx="77">
                  <c:v>7.8</c:v>
                </c:pt>
                <c:pt idx="78">
                  <c:v>7.9</c:v>
                </c:pt>
                <c:pt idx="79">
                  <c:v>8</c:v>
                </c:pt>
                <c:pt idx="80">
                  <c:v>8.1</c:v>
                </c:pt>
                <c:pt idx="81">
                  <c:v>8.1999999999999993</c:v>
                </c:pt>
                <c:pt idx="82">
                  <c:v>8.3000000000000007</c:v>
                </c:pt>
                <c:pt idx="83">
                  <c:v>8.4</c:v>
                </c:pt>
                <c:pt idx="84">
                  <c:v>8.5</c:v>
                </c:pt>
                <c:pt idx="85">
                  <c:v>8.6</c:v>
                </c:pt>
                <c:pt idx="86">
                  <c:v>8.6999999999999993</c:v>
                </c:pt>
                <c:pt idx="87">
                  <c:v>8.8000000000000007</c:v>
                </c:pt>
                <c:pt idx="88">
                  <c:v>8.9</c:v>
                </c:pt>
                <c:pt idx="89">
                  <c:v>9</c:v>
                </c:pt>
                <c:pt idx="90">
                  <c:v>9.1</c:v>
                </c:pt>
                <c:pt idx="91">
                  <c:v>9.1999999999999993</c:v>
                </c:pt>
                <c:pt idx="92">
                  <c:v>9.3000000000000007</c:v>
                </c:pt>
                <c:pt idx="93">
                  <c:v>9.4</c:v>
                </c:pt>
                <c:pt idx="94">
                  <c:v>9.5</c:v>
                </c:pt>
                <c:pt idx="95">
                  <c:v>9.6</c:v>
                </c:pt>
                <c:pt idx="96">
                  <c:v>9.6999999999999993</c:v>
                </c:pt>
                <c:pt idx="97">
                  <c:v>9.8000000000000007</c:v>
                </c:pt>
                <c:pt idx="98">
                  <c:v>9.9</c:v>
                </c:pt>
                <c:pt idx="99">
                  <c:v>10</c:v>
                </c:pt>
              </c:numCache>
            </c:numRef>
          </c:xVal>
          <c:yVal>
            <c:numRef>
              <c:f>Sheet2!$F$4:$F$103</c:f>
              <c:numCache>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Cache>
            </c:numRef>
          </c:yVal>
          <c:smooth val="0"/>
          <c:extLst>
            <c:ext xmlns:c16="http://schemas.microsoft.com/office/drawing/2014/chart" uri="{C3380CC4-5D6E-409C-BE32-E72D297353CC}">
              <c16:uniqueId val="{00000000-9B4F-44D3-A8DB-F7524E6C6C4B}"/>
            </c:ext>
          </c:extLst>
        </c:ser>
        <c:ser>
          <c:idx val="1"/>
          <c:order val="1"/>
          <c:spPr>
            <a:ln w="38100" cap="rnd">
              <a:noFill/>
              <a:round/>
            </a:ln>
            <a:effectLst/>
          </c:spPr>
          <c:marker>
            <c:symbol val="circle"/>
            <c:size val="5"/>
            <c:spPr>
              <a:solidFill>
                <a:schemeClr val="accent2"/>
              </a:solidFill>
              <a:ln w="9525">
                <a:solidFill>
                  <a:schemeClr val="accent2"/>
                </a:solidFill>
              </a:ln>
              <a:effectLst/>
            </c:spPr>
          </c:marker>
          <c:xVal>
            <c:numRef>
              <c:f>Sheet2!$A$4:$A$103</c:f>
              <c:numCache>
                <c:formatCode>General</c:formatCode>
                <c:ptCount val="100"/>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3.1</c:v>
                </c:pt>
                <c:pt idx="31">
                  <c:v>3.2</c:v>
                </c:pt>
                <c:pt idx="32">
                  <c:v>3.3</c:v>
                </c:pt>
                <c:pt idx="33">
                  <c:v>3.4</c:v>
                </c:pt>
                <c:pt idx="34">
                  <c:v>3.5</c:v>
                </c:pt>
                <c:pt idx="35">
                  <c:v>3.6</c:v>
                </c:pt>
                <c:pt idx="36">
                  <c:v>3.7</c:v>
                </c:pt>
                <c:pt idx="37">
                  <c:v>3.8</c:v>
                </c:pt>
                <c:pt idx="38">
                  <c:v>3.9</c:v>
                </c:pt>
                <c:pt idx="39">
                  <c:v>4</c:v>
                </c:pt>
                <c:pt idx="40">
                  <c:v>4.0999999999999996</c:v>
                </c:pt>
                <c:pt idx="41">
                  <c:v>4.2</c:v>
                </c:pt>
                <c:pt idx="42">
                  <c:v>4.3</c:v>
                </c:pt>
                <c:pt idx="43">
                  <c:v>4.4000000000000004</c:v>
                </c:pt>
                <c:pt idx="44">
                  <c:v>4.5</c:v>
                </c:pt>
                <c:pt idx="45">
                  <c:v>4.5999999999999996</c:v>
                </c:pt>
                <c:pt idx="46">
                  <c:v>4.7</c:v>
                </c:pt>
                <c:pt idx="47">
                  <c:v>4.8</c:v>
                </c:pt>
                <c:pt idx="48">
                  <c:v>4.9000000000000004</c:v>
                </c:pt>
                <c:pt idx="49">
                  <c:v>5</c:v>
                </c:pt>
                <c:pt idx="50">
                  <c:v>5.0999999999999996</c:v>
                </c:pt>
                <c:pt idx="51">
                  <c:v>5.2</c:v>
                </c:pt>
                <c:pt idx="52">
                  <c:v>5.3</c:v>
                </c:pt>
                <c:pt idx="53">
                  <c:v>5.4</c:v>
                </c:pt>
                <c:pt idx="54">
                  <c:v>5.5</c:v>
                </c:pt>
                <c:pt idx="55">
                  <c:v>5.6</c:v>
                </c:pt>
                <c:pt idx="56">
                  <c:v>5.7</c:v>
                </c:pt>
                <c:pt idx="57">
                  <c:v>5.8</c:v>
                </c:pt>
                <c:pt idx="58">
                  <c:v>5.9</c:v>
                </c:pt>
                <c:pt idx="59">
                  <c:v>6</c:v>
                </c:pt>
                <c:pt idx="60">
                  <c:v>6.1</c:v>
                </c:pt>
                <c:pt idx="61">
                  <c:v>6.2</c:v>
                </c:pt>
                <c:pt idx="62">
                  <c:v>6.3</c:v>
                </c:pt>
                <c:pt idx="63">
                  <c:v>6.4</c:v>
                </c:pt>
                <c:pt idx="64">
                  <c:v>6.5</c:v>
                </c:pt>
                <c:pt idx="65">
                  <c:v>6.6</c:v>
                </c:pt>
                <c:pt idx="66">
                  <c:v>6.7</c:v>
                </c:pt>
                <c:pt idx="67">
                  <c:v>6.8</c:v>
                </c:pt>
                <c:pt idx="68">
                  <c:v>6.9</c:v>
                </c:pt>
                <c:pt idx="69">
                  <c:v>7</c:v>
                </c:pt>
                <c:pt idx="70">
                  <c:v>7.1</c:v>
                </c:pt>
                <c:pt idx="71">
                  <c:v>7.2</c:v>
                </c:pt>
                <c:pt idx="72">
                  <c:v>7.3</c:v>
                </c:pt>
                <c:pt idx="73">
                  <c:v>7.4</c:v>
                </c:pt>
                <c:pt idx="74">
                  <c:v>7.5</c:v>
                </c:pt>
                <c:pt idx="75">
                  <c:v>7.6</c:v>
                </c:pt>
                <c:pt idx="76">
                  <c:v>7.7</c:v>
                </c:pt>
                <c:pt idx="77">
                  <c:v>7.8</c:v>
                </c:pt>
                <c:pt idx="78">
                  <c:v>7.9</c:v>
                </c:pt>
                <c:pt idx="79">
                  <c:v>8</c:v>
                </c:pt>
                <c:pt idx="80">
                  <c:v>8.1</c:v>
                </c:pt>
                <c:pt idx="81">
                  <c:v>8.1999999999999993</c:v>
                </c:pt>
                <c:pt idx="82">
                  <c:v>8.3000000000000007</c:v>
                </c:pt>
                <c:pt idx="83">
                  <c:v>8.4</c:v>
                </c:pt>
                <c:pt idx="84">
                  <c:v>8.5</c:v>
                </c:pt>
                <c:pt idx="85">
                  <c:v>8.6</c:v>
                </c:pt>
                <c:pt idx="86">
                  <c:v>8.6999999999999993</c:v>
                </c:pt>
                <c:pt idx="87">
                  <c:v>8.8000000000000007</c:v>
                </c:pt>
                <c:pt idx="88">
                  <c:v>8.9</c:v>
                </c:pt>
                <c:pt idx="89">
                  <c:v>9</c:v>
                </c:pt>
                <c:pt idx="90">
                  <c:v>9.1</c:v>
                </c:pt>
                <c:pt idx="91">
                  <c:v>9.1999999999999993</c:v>
                </c:pt>
                <c:pt idx="92">
                  <c:v>9.3000000000000007</c:v>
                </c:pt>
                <c:pt idx="93">
                  <c:v>9.4</c:v>
                </c:pt>
                <c:pt idx="94">
                  <c:v>9.5</c:v>
                </c:pt>
                <c:pt idx="95">
                  <c:v>9.6</c:v>
                </c:pt>
                <c:pt idx="96">
                  <c:v>9.6999999999999993</c:v>
                </c:pt>
                <c:pt idx="97">
                  <c:v>9.8000000000000007</c:v>
                </c:pt>
                <c:pt idx="98">
                  <c:v>9.9</c:v>
                </c:pt>
                <c:pt idx="99">
                  <c:v>10</c:v>
                </c:pt>
              </c:numCache>
            </c:numRef>
          </c:xVal>
          <c:yVal>
            <c:numRef>
              <c:f>Sheet2!$G$4:$G$103</c:f>
              <c:numCache>
                <c:formatCode>General</c:formatCode>
                <c:ptCount val="100"/>
                <c:pt idx="0">
                  <c:v>3.6314213659869664E-2</c:v>
                </c:pt>
                <c:pt idx="1">
                  <c:v>0.14532826463414494</c:v>
                </c:pt>
                <c:pt idx="2">
                  <c:v>0.327254821801921</c:v>
                </c:pt>
                <c:pt idx="3">
                  <c:v>0.58244311005091176</c:v>
                </c:pt>
                <c:pt idx="4">
                  <c:v>0.91137100774962509</c:v>
                </c:pt>
                <c:pt idx="5">
                  <c:v>1.3146338507895337</c:v>
                </c:pt>
                <c:pt idx="6">
                  <c:v>1.7929298176199324</c:v>
                </c:pt>
                <c:pt idx="7">
                  <c:v>2.3470417437490489</c:v>
                </c:pt>
                <c:pt idx="8">
                  <c:v>2.9778151959400536</c:v>
                </c:pt>
                <c:pt idx="9">
                  <c:v>3.6861326277501694</c:v>
                </c:pt>
                <c:pt idx="10">
                  <c:v>4.4728834412044662</c:v>
                </c:pt>
                <c:pt idx="11">
                  <c:v>5.3389297963893858</c:v>
                </c:pt>
                <c:pt idx="12">
                  <c:v>6.2850680437400355</c:v>
                </c:pt>
                <c:pt idx="13">
                  <c:v>7.3119857048593362</c:v>
                </c:pt>
                <c:pt idx="14">
                  <c:v>8.4202139987593192</c:v>
                </c:pt>
                <c:pt idx="15">
                  <c:v>9.6100760030577224</c:v>
                </c:pt>
                <c:pt idx="16">
                  <c:v>10.881630655028557</c:v>
                </c:pt>
                <c:pt idx="17">
                  <c:v>12.234612935961783</c:v>
                </c:pt>
                <c:pt idx="18">
                  <c:v>13.668370743627975</c:v>
                </c:pt>
                <c:pt idx="19">
                  <c:v>15.181799140270432</c:v>
                </c:pt>
                <c:pt idx="20">
                  <c:v>16.773272864650593</c:v>
                </c:pt>
                <c:pt idx="21">
                  <c:v>18.44057821194076</c:v>
                </c:pt>
                <c:pt idx="22">
                  <c:v>20.180845608717295</c:v>
                </c:pt>
                <c:pt idx="23">
                  <c:v>21.990484434237974</c:v>
                </c:pt>
                <c:pt idx="24">
                  <c:v>23.865121854119113</c:v>
                </c:pt>
                <c:pt idx="25">
                  <c:v>25.799547627357583</c:v>
                </c:pt>
                <c:pt idx="26">
                  <c:v>27.78766700987957</c:v>
                </c:pt>
                <c:pt idx="27">
                  <c:v>29.822463993975187</c:v>
                </c:pt>
                <c:pt idx="28">
                  <c:v>31.89597717920768</c:v>
                </c:pt>
                <c:pt idx="29">
                  <c:v>33.999290553089757</c:v>
                </c:pt>
                <c:pt idx="30">
                  <c:v>36.122541356588613</c:v>
                </c:pt>
                <c:pt idx="31">
                  <c:v>38.25494701008104</c:v>
                </c:pt>
                <c:pt idx="32">
                  <c:v>40.38485277262216</c:v>
                </c:pt>
                <c:pt idx="33">
                  <c:v>42.499801398373037</c:v>
                </c:pt>
                <c:pt idx="34">
                  <c:v>44.586625540898943</c:v>
                </c:pt>
                <c:pt idx="35">
                  <c:v>46.631563046762793</c:v>
                </c:pt>
                <c:pt idx="36">
                  <c:v>48.620394588622737</c:v>
                </c:pt>
                <c:pt idx="37">
                  <c:v>50.538602335489145</c:v>
                </c:pt>
                <c:pt idx="38">
                  <c:v>52.371547570512369</c:v>
                </c:pt>
                <c:pt idx="39">
                  <c:v>54.104664376475924</c:v>
                </c:pt>
                <c:pt idx="40">
                  <c:v>55.723665751800837</c:v>
                </c:pt>
                <c:pt idx="41">
                  <c:v>57.214757833249479</c:v>
                </c:pt>
                <c:pt idx="42">
                  <c:v>58.56485732366405</c:v>
                </c:pt>
                <c:pt idx="43">
                  <c:v>59.761806789747425</c:v>
                </c:pt>
                <c:pt idx="44">
                  <c:v>60.794582237166566</c:v>
                </c:pt>
                <c:pt idx="45">
                  <c:v>61.653487312212043</c:v>
                </c:pt>
                <c:pt idx="46">
                  <c:v>62.330328635912402</c:v>
                </c:pt>
                <c:pt idx="47">
                  <c:v>62.81856715233684</c:v>
                </c:pt>
                <c:pt idx="48">
                  <c:v>63.11344096077466</c:v>
                </c:pt>
                <c:pt idx="49">
                  <c:v>63.212055882855779</c:v>
                </c:pt>
                <c:pt idx="50">
                  <c:v>63.11344096077466</c:v>
                </c:pt>
                <c:pt idx="51">
                  <c:v>62.818567152336854</c:v>
                </c:pt>
                <c:pt idx="52">
                  <c:v>62.330328635912402</c:v>
                </c:pt>
                <c:pt idx="53">
                  <c:v>61.653487312212057</c:v>
                </c:pt>
                <c:pt idx="54">
                  <c:v>60.794582237166566</c:v>
                </c:pt>
                <c:pt idx="55">
                  <c:v>59.761806789747432</c:v>
                </c:pt>
                <c:pt idx="56">
                  <c:v>58.564857323664043</c:v>
                </c:pt>
                <c:pt idx="57">
                  <c:v>57.214757833249472</c:v>
                </c:pt>
                <c:pt idx="58">
                  <c:v>55.72366575180083</c:v>
                </c:pt>
                <c:pt idx="59">
                  <c:v>54.104664376475924</c:v>
                </c:pt>
                <c:pt idx="60">
                  <c:v>52.371547570512391</c:v>
                </c:pt>
                <c:pt idx="61">
                  <c:v>50.538602335489131</c:v>
                </c:pt>
                <c:pt idx="62">
                  <c:v>48.620394588622723</c:v>
                </c:pt>
                <c:pt idx="63">
                  <c:v>46.631563046762771</c:v>
                </c:pt>
                <c:pt idx="64">
                  <c:v>44.586625540898936</c:v>
                </c:pt>
                <c:pt idx="65">
                  <c:v>42.499801398373073</c:v>
                </c:pt>
                <c:pt idx="66">
                  <c:v>40.38485277262216</c:v>
                </c:pt>
                <c:pt idx="67">
                  <c:v>38.25494701008104</c:v>
                </c:pt>
                <c:pt idx="68">
                  <c:v>36.122541356588592</c:v>
                </c:pt>
                <c:pt idx="69">
                  <c:v>33.999290553089757</c:v>
                </c:pt>
                <c:pt idx="70">
                  <c:v>31.895977179207698</c:v>
                </c:pt>
                <c:pt idx="71">
                  <c:v>29.822463993975173</c:v>
                </c:pt>
                <c:pt idx="72">
                  <c:v>27.787667009879556</c:v>
                </c:pt>
                <c:pt idx="73">
                  <c:v>25.799547627357562</c:v>
                </c:pt>
                <c:pt idx="74">
                  <c:v>23.865121854119113</c:v>
                </c:pt>
                <c:pt idx="75">
                  <c:v>21.990484434237981</c:v>
                </c:pt>
                <c:pt idx="76">
                  <c:v>20.180845608717284</c:v>
                </c:pt>
                <c:pt idx="77">
                  <c:v>18.44057821194075</c:v>
                </c:pt>
                <c:pt idx="78">
                  <c:v>16.773272864650565</c:v>
                </c:pt>
                <c:pt idx="79">
                  <c:v>15.181799140270423</c:v>
                </c:pt>
                <c:pt idx="80">
                  <c:v>13.668370743627984</c:v>
                </c:pt>
                <c:pt idx="81">
                  <c:v>12.234612935961801</c:v>
                </c:pt>
                <c:pt idx="82">
                  <c:v>10.881630655028529</c:v>
                </c:pt>
                <c:pt idx="83">
                  <c:v>9.6100760030577028</c:v>
                </c:pt>
                <c:pt idx="84">
                  <c:v>8.4202139987593156</c:v>
                </c:pt>
                <c:pt idx="85">
                  <c:v>7.3119857048593389</c:v>
                </c:pt>
                <c:pt idx="86">
                  <c:v>6.2850680437400577</c:v>
                </c:pt>
                <c:pt idx="87">
                  <c:v>5.3389297963893725</c:v>
                </c:pt>
                <c:pt idx="88">
                  <c:v>4.4728834412044494</c:v>
                </c:pt>
                <c:pt idx="89">
                  <c:v>3.6861326277501618</c:v>
                </c:pt>
                <c:pt idx="90">
                  <c:v>2.9778151959400487</c:v>
                </c:pt>
                <c:pt idx="91">
                  <c:v>2.3470417437490574</c:v>
                </c:pt>
                <c:pt idx="92">
                  <c:v>1.7929298176199224</c:v>
                </c:pt>
                <c:pt idx="93">
                  <c:v>1.3146338507895252</c:v>
                </c:pt>
                <c:pt idx="94">
                  <c:v>0.91137100774961799</c:v>
                </c:pt>
                <c:pt idx="95">
                  <c:v>0.58244311005090577</c:v>
                </c:pt>
                <c:pt idx="96">
                  <c:v>0.32725482180192744</c:v>
                </c:pt>
                <c:pt idx="97">
                  <c:v>0.14532826463413739</c:v>
                </c:pt>
                <c:pt idx="98">
                  <c:v>3.631421365986251E-2</c:v>
                </c:pt>
                <c:pt idx="99">
                  <c:v>-7.0290995246580223E-15</c:v>
                </c:pt>
              </c:numCache>
            </c:numRef>
          </c:yVal>
          <c:smooth val="0"/>
          <c:extLst>
            <c:ext xmlns:c16="http://schemas.microsoft.com/office/drawing/2014/chart" uri="{C3380CC4-5D6E-409C-BE32-E72D297353CC}">
              <c16:uniqueId val="{00000001-9B4F-44D3-A8DB-F7524E6C6C4B}"/>
            </c:ext>
          </c:extLst>
        </c:ser>
        <c:dLbls>
          <c:showLegendKey val="0"/>
          <c:showVal val="0"/>
          <c:showCatName val="0"/>
          <c:showSerName val="0"/>
          <c:showPercent val="0"/>
          <c:showBubbleSize val="0"/>
        </c:dLbls>
        <c:axId val="1248109104"/>
        <c:axId val="1248110064"/>
      </c:scatterChart>
      <c:valAx>
        <c:axId val="1248109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110064"/>
        <c:crosses val="autoZero"/>
        <c:crossBetween val="midCat"/>
      </c:valAx>
      <c:valAx>
        <c:axId val="1248110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10910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Sheet3!$A$1:$A$4</c:f>
              <c:numCache>
                <c:formatCode>General</c:formatCode>
                <c:ptCount val="4"/>
                <c:pt idx="0">
                  <c:v>0</c:v>
                </c:pt>
                <c:pt idx="1">
                  <c:v>1</c:v>
                </c:pt>
                <c:pt idx="2">
                  <c:v>2</c:v>
                </c:pt>
                <c:pt idx="3">
                  <c:v>3</c:v>
                </c:pt>
              </c:numCache>
            </c:numRef>
          </c:xVal>
          <c:yVal>
            <c:numRef>
              <c:f>Sheet3!$B$1:$B$4</c:f>
              <c:numCache>
                <c:formatCode>0.00E+00</c:formatCode>
                <c:ptCount val="4"/>
                <c:pt idx="0">
                  <c:v>1.249E-8</c:v>
                </c:pt>
                <c:pt idx="1">
                  <c:v>2.0000000000000001E-9</c:v>
                </c:pt>
                <c:pt idx="2">
                  <c:v>1.0000000000000001E-9</c:v>
                </c:pt>
                <c:pt idx="3">
                  <c:v>6.6799999999999997E-10</c:v>
                </c:pt>
              </c:numCache>
            </c:numRef>
          </c:yVal>
          <c:smooth val="0"/>
          <c:extLst>
            <c:ext xmlns:c16="http://schemas.microsoft.com/office/drawing/2014/chart" uri="{C3380CC4-5D6E-409C-BE32-E72D297353CC}">
              <c16:uniqueId val="{00000000-24FE-4DDB-B6A5-96A9039EB82B}"/>
            </c:ext>
          </c:extLst>
        </c:ser>
        <c:dLbls>
          <c:showLegendKey val="0"/>
          <c:showVal val="0"/>
          <c:showCatName val="0"/>
          <c:showSerName val="0"/>
          <c:showPercent val="0"/>
          <c:showBubbleSize val="0"/>
        </c:dLbls>
        <c:axId val="1248093264"/>
        <c:axId val="1248088944"/>
      </c:scatterChart>
      <c:valAx>
        <c:axId val="12480932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088944"/>
        <c:crosses val="autoZero"/>
        <c:crossBetween val="midCat"/>
      </c:valAx>
      <c:valAx>
        <c:axId val="124808894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09326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Sheet3!$A$1:$A$4</c:f>
              <c:numCache>
                <c:formatCode>General</c:formatCode>
                <c:ptCount val="4"/>
                <c:pt idx="0">
                  <c:v>0</c:v>
                </c:pt>
                <c:pt idx="1">
                  <c:v>1</c:v>
                </c:pt>
                <c:pt idx="2">
                  <c:v>2</c:v>
                </c:pt>
                <c:pt idx="3">
                  <c:v>3</c:v>
                </c:pt>
              </c:numCache>
            </c:numRef>
          </c:xVal>
          <c:yVal>
            <c:numRef>
              <c:f>Sheet3!$C$1:$C$4</c:f>
              <c:numCache>
                <c:formatCode>General</c:formatCode>
                <c:ptCount val="4"/>
                <c:pt idx="0">
                  <c:v>1.397</c:v>
                </c:pt>
                <c:pt idx="1">
                  <c:v>1.37</c:v>
                </c:pt>
                <c:pt idx="2">
                  <c:v>1.3560000000000001</c:v>
                </c:pt>
                <c:pt idx="3">
                  <c:v>1.35</c:v>
                </c:pt>
              </c:numCache>
            </c:numRef>
          </c:yVal>
          <c:smooth val="0"/>
          <c:extLst>
            <c:ext xmlns:c16="http://schemas.microsoft.com/office/drawing/2014/chart" uri="{C3380CC4-5D6E-409C-BE32-E72D297353CC}">
              <c16:uniqueId val="{00000000-4C7C-4542-8112-A4E2296C3737}"/>
            </c:ext>
          </c:extLst>
        </c:ser>
        <c:dLbls>
          <c:showLegendKey val="0"/>
          <c:showVal val="0"/>
          <c:showCatName val="0"/>
          <c:showSerName val="0"/>
          <c:showPercent val="0"/>
          <c:showBubbleSize val="0"/>
        </c:dLbls>
        <c:axId val="1248160464"/>
        <c:axId val="1248146544"/>
      </c:scatterChart>
      <c:valAx>
        <c:axId val="1248160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146544"/>
        <c:crosses val="autoZero"/>
        <c:crossBetween val="midCat"/>
      </c:valAx>
      <c:valAx>
        <c:axId val="1248146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16046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415638</xdr:colOff>
      <xdr:row>19</xdr:row>
      <xdr:rowOff>9959</xdr:rowOff>
    </xdr:from>
    <xdr:to>
      <xdr:col>3</xdr:col>
      <xdr:colOff>185740</xdr:colOff>
      <xdr:row>46</xdr:row>
      <xdr:rowOff>157597</xdr:rowOff>
    </xdr:to>
    <xdr:graphicFrame macro="">
      <xdr:nvGraphicFramePr>
        <xdr:cNvPr id="12" name="Chart 11">
          <a:extLst>
            <a:ext uri="{FF2B5EF4-FFF2-40B4-BE49-F238E27FC236}">
              <a16:creationId xmlns:a16="http://schemas.microsoft.com/office/drawing/2014/main" id="{AEA4F2FF-0107-0ACD-EBB3-16526E1938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300036</xdr:colOff>
      <xdr:row>74</xdr:row>
      <xdr:rowOff>158750</xdr:rowOff>
    </xdr:from>
    <xdr:to>
      <xdr:col>4</xdr:col>
      <xdr:colOff>15875</xdr:colOff>
      <xdr:row>80</xdr:row>
      <xdr:rowOff>146050</xdr:rowOff>
    </xdr:to>
    <xdr:graphicFrame macro="">
      <xdr:nvGraphicFramePr>
        <xdr:cNvPr id="18" name="Chart 17">
          <a:extLst>
            <a:ext uri="{FF2B5EF4-FFF2-40B4-BE49-F238E27FC236}">
              <a16:creationId xmlns:a16="http://schemas.microsoft.com/office/drawing/2014/main" id="{22F04AE9-97E2-6A2D-604B-5B0283591C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338137</xdr:colOff>
      <xdr:row>65</xdr:row>
      <xdr:rowOff>14287</xdr:rowOff>
    </xdr:from>
    <xdr:to>
      <xdr:col>25</xdr:col>
      <xdr:colOff>33337</xdr:colOff>
      <xdr:row>79</xdr:row>
      <xdr:rowOff>90487</xdr:rowOff>
    </xdr:to>
    <xdr:graphicFrame macro="">
      <xdr:nvGraphicFramePr>
        <xdr:cNvPr id="28" name="Chart 27">
          <a:extLst>
            <a:ext uri="{FF2B5EF4-FFF2-40B4-BE49-F238E27FC236}">
              <a16:creationId xmlns:a16="http://schemas.microsoft.com/office/drawing/2014/main" id="{36DDC028-2BF6-8233-5B9D-DE4EA24FF9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576262</xdr:colOff>
      <xdr:row>95</xdr:row>
      <xdr:rowOff>100012</xdr:rowOff>
    </xdr:from>
    <xdr:to>
      <xdr:col>24</xdr:col>
      <xdr:colOff>271462</xdr:colOff>
      <xdr:row>109</xdr:row>
      <xdr:rowOff>176212</xdr:rowOff>
    </xdr:to>
    <xdr:graphicFrame macro="">
      <xdr:nvGraphicFramePr>
        <xdr:cNvPr id="30" name="Chart 29">
          <a:extLst>
            <a:ext uri="{FF2B5EF4-FFF2-40B4-BE49-F238E27FC236}">
              <a16:creationId xmlns:a16="http://schemas.microsoft.com/office/drawing/2014/main" id="{42A304B5-82BF-3282-2F99-F97EB02497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290512</xdr:colOff>
      <xdr:row>80</xdr:row>
      <xdr:rowOff>71437</xdr:rowOff>
    </xdr:from>
    <xdr:to>
      <xdr:col>22</xdr:col>
      <xdr:colOff>595312</xdr:colOff>
      <xdr:row>94</xdr:row>
      <xdr:rowOff>147637</xdr:rowOff>
    </xdr:to>
    <xdr:graphicFrame macro="">
      <xdr:nvGraphicFramePr>
        <xdr:cNvPr id="31" name="Chart 30">
          <a:extLst>
            <a:ext uri="{FF2B5EF4-FFF2-40B4-BE49-F238E27FC236}">
              <a16:creationId xmlns:a16="http://schemas.microsoft.com/office/drawing/2014/main" id="{2D28A109-A94E-CB40-B1A3-751BC7F3D3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395287</xdr:colOff>
      <xdr:row>79</xdr:row>
      <xdr:rowOff>100012</xdr:rowOff>
    </xdr:from>
    <xdr:to>
      <xdr:col>24</xdr:col>
      <xdr:colOff>90487</xdr:colOff>
      <xdr:row>93</xdr:row>
      <xdr:rowOff>176212</xdr:rowOff>
    </xdr:to>
    <xdr:graphicFrame macro="">
      <xdr:nvGraphicFramePr>
        <xdr:cNvPr id="32" name="Chart 31">
          <a:extLst>
            <a:ext uri="{FF2B5EF4-FFF2-40B4-BE49-F238E27FC236}">
              <a16:creationId xmlns:a16="http://schemas.microsoft.com/office/drawing/2014/main" id="{A903B588-1481-0E60-4DFD-8E9F17BB67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33337</xdr:colOff>
      <xdr:row>0</xdr:row>
      <xdr:rowOff>100011</xdr:rowOff>
    </xdr:from>
    <xdr:to>
      <xdr:col>8</xdr:col>
      <xdr:colOff>85725</xdr:colOff>
      <xdr:row>31</xdr:row>
      <xdr:rowOff>9525</xdr:rowOff>
    </xdr:to>
    <xdr:graphicFrame macro="">
      <xdr:nvGraphicFramePr>
        <xdr:cNvPr id="6" name="Chart 5">
          <a:extLst>
            <a:ext uri="{FF2B5EF4-FFF2-40B4-BE49-F238E27FC236}">
              <a16:creationId xmlns:a16="http://schemas.microsoft.com/office/drawing/2014/main" id="{071E4D43-9F20-C6CA-1A0B-740446CE76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280987</xdr:colOff>
      <xdr:row>0</xdr:row>
      <xdr:rowOff>185736</xdr:rowOff>
    </xdr:from>
    <xdr:to>
      <xdr:col>19</xdr:col>
      <xdr:colOff>323850</xdr:colOff>
      <xdr:row>31</xdr:row>
      <xdr:rowOff>95249</xdr:rowOff>
    </xdr:to>
    <xdr:graphicFrame macro="">
      <xdr:nvGraphicFramePr>
        <xdr:cNvPr id="12" name="Chart 11">
          <a:extLst>
            <a:ext uri="{FF2B5EF4-FFF2-40B4-BE49-F238E27FC236}">
              <a16:creationId xmlns:a16="http://schemas.microsoft.com/office/drawing/2014/main" id="{34FDEA89-33E3-AFC9-4A14-5B775F8EBE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690562</xdr:colOff>
      <xdr:row>16</xdr:row>
      <xdr:rowOff>176212</xdr:rowOff>
    </xdr:from>
    <xdr:to>
      <xdr:col>12</xdr:col>
      <xdr:colOff>423862</xdr:colOff>
      <xdr:row>28</xdr:row>
      <xdr:rowOff>142875</xdr:rowOff>
    </xdr:to>
    <xdr:graphicFrame macro="">
      <xdr:nvGraphicFramePr>
        <xdr:cNvPr id="11" name="Chart 10">
          <a:extLst>
            <a:ext uri="{FF2B5EF4-FFF2-40B4-BE49-F238E27FC236}">
              <a16:creationId xmlns:a16="http://schemas.microsoft.com/office/drawing/2014/main" id="{E18DB6E0-7884-2FC4-D7DF-6A63D9ECF2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204787</xdr:colOff>
      <xdr:row>19</xdr:row>
      <xdr:rowOff>4762</xdr:rowOff>
    </xdr:from>
    <xdr:to>
      <xdr:col>18</xdr:col>
      <xdr:colOff>47625</xdr:colOff>
      <xdr:row>41</xdr:row>
      <xdr:rowOff>80962</xdr:rowOff>
    </xdr:to>
    <xdr:graphicFrame macro="">
      <xdr:nvGraphicFramePr>
        <xdr:cNvPr id="12" name="Chart 11">
          <a:extLst>
            <a:ext uri="{FF2B5EF4-FFF2-40B4-BE49-F238E27FC236}">
              <a16:creationId xmlns:a16="http://schemas.microsoft.com/office/drawing/2014/main" id="{E115F6F0-6A74-F3D4-584B-7A2EECE0C0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638175</xdr:colOff>
      <xdr:row>2</xdr:row>
      <xdr:rowOff>14287</xdr:rowOff>
    </xdr:from>
    <xdr:to>
      <xdr:col>21</xdr:col>
      <xdr:colOff>104775</xdr:colOff>
      <xdr:row>16</xdr:row>
      <xdr:rowOff>90487</xdr:rowOff>
    </xdr:to>
    <xdr:graphicFrame macro="">
      <xdr:nvGraphicFramePr>
        <xdr:cNvPr id="2" name="Chart 1">
          <a:extLst>
            <a:ext uri="{FF2B5EF4-FFF2-40B4-BE49-F238E27FC236}">
              <a16:creationId xmlns:a16="http://schemas.microsoft.com/office/drawing/2014/main" id="{E767E2DF-BDD5-DE38-EE97-A482A0189A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509587</xdr:colOff>
      <xdr:row>16</xdr:row>
      <xdr:rowOff>157162</xdr:rowOff>
    </xdr:from>
    <xdr:to>
      <xdr:col>15</xdr:col>
      <xdr:colOff>566737</xdr:colOff>
      <xdr:row>31</xdr:row>
      <xdr:rowOff>42862</xdr:rowOff>
    </xdr:to>
    <xdr:graphicFrame macro="">
      <xdr:nvGraphicFramePr>
        <xdr:cNvPr id="5" name="Chart 4">
          <a:extLst>
            <a:ext uri="{FF2B5EF4-FFF2-40B4-BE49-F238E27FC236}">
              <a16:creationId xmlns:a16="http://schemas.microsoft.com/office/drawing/2014/main" id="{DFF93140-1096-3460-6F24-03FE1ADE23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442912</xdr:colOff>
      <xdr:row>16</xdr:row>
      <xdr:rowOff>147637</xdr:rowOff>
    </xdr:from>
    <xdr:to>
      <xdr:col>24</xdr:col>
      <xdr:colOff>138112</xdr:colOff>
      <xdr:row>31</xdr:row>
      <xdr:rowOff>33337</xdr:rowOff>
    </xdr:to>
    <xdr:graphicFrame macro="">
      <xdr:nvGraphicFramePr>
        <xdr:cNvPr id="7" name="Chart 6">
          <a:extLst>
            <a:ext uri="{FF2B5EF4-FFF2-40B4-BE49-F238E27FC236}">
              <a16:creationId xmlns:a16="http://schemas.microsoft.com/office/drawing/2014/main" id="{BF8C60C7-DC35-DD1C-2574-5474F92F72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400050</xdr:colOff>
      <xdr:row>1</xdr:row>
      <xdr:rowOff>95250</xdr:rowOff>
    </xdr:from>
    <xdr:to>
      <xdr:col>11</xdr:col>
      <xdr:colOff>95250</xdr:colOff>
      <xdr:row>15</xdr:row>
      <xdr:rowOff>171450</xdr:rowOff>
    </xdr:to>
    <xdr:graphicFrame macro="">
      <xdr:nvGraphicFramePr>
        <xdr:cNvPr id="3" name="Chart 2">
          <a:extLst>
            <a:ext uri="{FF2B5EF4-FFF2-40B4-BE49-F238E27FC236}">
              <a16:creationId xmlns:a16="http://schemas.microsoft.com/office/drawing/2014/main" id="{E9CA447A-3E66-7E11-AEE6-2BF121398C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447675</xdr:colOff>
      <xdr:row>16</xdr:row>
      <xdr:rowOff>9525</xdr:rowOff>
    </xdr:from>
    <xdr:to>
      <xdr:col>11</xdr:col>
      <xdr:colOff>142875</xdr:colOff>
      <xdr:row>30</xdr:row>
      <xdr:rowOff>85725</xdr:rowOff>
    </xdr:to>
    <xdr:graphicFrame macro="">
      <xdr:nvGraphicFramePr>
        <xdr:cNvPr id="4" name="Chart 3">
          <a:extLst>
            <a:ext uri="{FF2B5EF4-FFF2-40B4-BE49-F238E27FC236}">
              <a16:creationId xmlns:a16="http://schemas.microsoft.com/office/drawing/2014/main" id="{06D93B19-2276-1742-B9F3-D8DDAAB0A6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1D759-D734-4069-9D39-B7813B347ECA}">
  <dimension ref="A21:O110"/>
  <sheetViews>
    <sheetView topLeftCell="A21" zoomScale="110" zoomScaleNormal="110" workbookViewId="0">
      <selection activeCell="L35" sqref="L35"/>
    </sheetView>
  </sheetViews>
  <sheetFormatPr defaultRowHeight="15" x14ac:dyDescent="0.25"/>
  <cols>
    <col min="10" max="10" width="12" bestFit="1" customWidth="1"/>
  </cols>
  <sheetData>
    <row r="21" spans="5:9" x14ac:dyDescent="0.25">
      <c r="G21" t="s">
        <v>0</v>
      </c>
    </row>
    <row r="24" spans="5:9" x14ac:dyDescent="0.25">
      <c r="E24">
        <v>0</v>
      </c>
      <c r="F24">
        <v>-1440</v>
      </c>
      <c r="G24">
        <f>F24</f>
        <v>-1440</v>
      </c>
      <c r="H24">
        <v>125.625</v>
      </c>
    </row>
    <row r="25" spans="5:9" x14ac:dyDescent="0.25">
      <c r="E25">
        <v>102</v>
      </c>
      <c r="F25">
        <v>-1340</v>
      </c>
      <c r="G25">
        <f>F25</f>
        <v>-1340</v>
      </c>
    </row>
    <row r="26" spans="5:9" x14ac:dyDescent="0.25">
      <c r="E26">
        <v>160</v>
      </c>
      <c r="G26">
        <v>-1200</v>
      </c>
    </row>
    <row r="27" spans="5:9" x14ac:dyDescent="0.25">
      <c r="E27">
        <v>208</v>
      </c>
      <c r="G27">
        <v>-1000</v>
      </c>
      <c r="I27" t="str">
        <f>E25&amp;" "&amp;G25&amp;","</f>
        <v>102 -1340,</v>
      </c>
    </row>
    <row r="28" spans="5:9" x14ac:dyDescent="0.25">
      <c r="E28">
        <v>275</v>
      </c>
      <c r="G28">
        <v>-500</v>
      </c>
      <c r="I28" t="str">
        <f>E26&amp;" "&amp;G26&amp;","</f>
        <v>160 -1200,</v>
      </c>
    </row>
    <row r="29" spans="5:9" x14ac:dyDescent="0.25">
      <c r="E29">
        <v>300</v>
      </c>
      <c r="G29">
        <v>-100</v>
      </c>
      <c r="I29" t="str">
        <f>E27&amp;" "&amp;G27&amp;","</f>
        <v>208 -1000,</v>
      </c>
    </row>
    <row r="30" spans="5:9" x14ac:dyDescent="0.25">
      <c r="E30">
        <f>E29+18</f>
        <v>318</v>
      </c>
      <c r="G30">
        <v>300</v>
      </c>
      <c r="I30" t="str">
        <f>E28&amp;" "&amp;G28&amp;","</f>
        <v>275 -500,</v>
      </c>
    </row>
    <row r="31" spans="5:9" x14ac:dyDescent="0.25">
      <c r="E31">
        <f>E30+15</f>
        <v>333</v>
      </c>
      <c r="G31">
        <v>700</v>
      </c>
      <c r="I31" t="str">
        <f>E29&amp;" "&amp;G29&amp;","</f>
        <v>300 -100,</v>
      </c>
    </row>
    <row r="32" spans="5:9" x14ac:dyDescent="0.25">
      <c r="E32">
        <f>E31+12</f>
        <v>345</v>
      </c>
      <c r="G32">
        <v>1100</v>
      </c>
      <c r="I32" t="str">
        <f t="shared" ref="I32:I42" si="0">E30&amp;" "&amp;G30&amp;","</f>
        <v>318 300,</v>
      </c>
    </row>
    <row r="33" spans="4:9" x14ac:dyDescent="0.25">
      <c r="E33">
        <f>E32+9</f>
        <v>354</v>
      </c>
      <c r="G33">
        <v>1400</v>
      </c>
      <c r="I33" t="str">
        <f t="shared" si="0"/>
        <v>333 700,</v>
      </c>
    </row>
    <row r="34" spans="4:9" x14ac:dyDescent="0.25">
      <c r="E34">
        <v>358</v>
      </c>
      <c r="G34">
        <v>1700</v>
      </c>
      <c r="I34" t="str">
        <f t="shared" si="0"/>
        <v>345 1100,</v>
      </c>
    </row>
    <row r="35" spans="4:9" x14ac:dyDescent="0.25">
      <c r="E35">
        <f>E33+6</f>
        <v>360</v>
      </c>
      <c r="G35">
        <v>2000</v>
      </c>
      <c r="I35" t="str">
        <f t="shared" si="0"/>
        <v>354 1400,</v>
      </c>
    </row>
    <row r="36" spans="4:9" x14ac:dyDescent="0.25">
      <c r="E36">
        <v>362</v>
      </c>
      <c r="G36">
        <v>2200</v>
      </c>
      <c r="I36" t="str">
        <f t="shared" si="0"/>
        <v>358 1700,</v>
      </c>
    </row>
    <row r="37" spans="4:9" x14ac:dyDescent="0.25">
      <c r="E37">
        <f>E35+3</f>
        <v>363</v>
      </c>
      <c r="G37">
        <v>2400</v>
      </c>
      <c r="I37" t="str">
        <f t="shared" si="0"/>
        <v>360 2000,</v>
      </c>
    </row>
    <row r="38" spans="4:9" x14ac:dyDescent="0.25">
      <c r="E38">
        <v>363.5</v>
      </c>
      <c r="G38">
        <v>2600</v>
      </c>
      <c r="I38" t="str">
        <f t="shared" si="0"/>
        <v>362 2200,</v>
      </c>
    </row>
    <row r="39" spans="4:9" x14ac:dyDescent="0.25">
      <c r="E39">
        <f>E37+1</f>
        <v>364</v>
      </c>
      <c r="G39">
        <v>2700</v>
      </c>
      <c r="I39" t="str">
        <f t="shared" si="0"/>
        <v>363 2400,</v>
      </c>
    </row>
    <row r="40" spans="4:9" x14ac:dyDescent="0.25">
      <c r="E40">
        <v>363.9</v>
      </c>
      <c r="G40">
        <v>2800</v>
      </c>
      <c r="I40" t="str">
        <f t="shared" si="0"/>
        <v>363.5 2600,</v>
      </c>
    </row>
    <row r="41" spans="4:9" x14ac:dyDescent="0.25">
      <c r="D41">
        <v>0.25</v>
      </c>
      <c r="E41">
        <f>E39-D41</f>
        <v>363.75</v>
      </c>
      <c r="F41">
        <f>SQRT(126^2-1.22*(E41-250)^2)+874</f>
        <v>883.50493292980013</v>
      </c>
      <c r="G41">
        <f>F41+2000</f>
        <v>2883.5049329297999</v>
      </c>
      <c r="I41" t="str">
        <f t="shared" si="0"/>
        <v>364 2700,</v>
      </c>
    </row>
    <row r="42" spans="4:9" x14ac:dyDescent="0.25">
      <c r="D42">
        <f>D41+0.25</f>
        <v>0.5</v>
      </c>
      <c r="E42">
        <f t="shared" ref="E42:E69" si="1">E41-D42</f>
        <v>363.25</v>
      </c>
      <c r="F42">
        <f t="shared" ref="F42:F69" si="2">SQRT(126^2-1.22*(E42-250)^2)+874</f>
        <v>889.12659082543064</v>
      </c>
      <c r="G42">
        <f t="shared" ref="G42:G71" si="3">F42+2000</f>
        <v>2889.1265908254309</v>
      </c>
      <c r="I42" t="str">
        <f t="shared" si="0"/>
        <v>363.9 2800,</v>
      </c>
    </row>
    <row r="43" spans="4:9" x14ac:dyDescent="0.25">
      <c r="D43">
        <f t="shared" ref="D43:D70" si="4">D42+0.25</f>
        <v>0.75</v>
      </c>
      <c r="E43">
        <f t="shared" si="1"/>
        <v>362.5</v>
      </c>
      <c r="F43">
        <f t="shared" si="2"/>
        <v>894.86564161486535</v>
      </c>
      <c r="G43">
        <f t="shared" si="3"/>
        <v>2894.8656416148651</v>
      </c>
      <c r="I43" t="str">
        <f>E41&amp;" "&amp;G41&amp;","</f>
        <v>363.75 2883.5049329298,</v>
      </c>
    </row>
    <row r="44" spans="4:9" x14ac:dyDescent="0.25">
      <c r="D44">
        <f t="shared" si="4"/>
        <v>1</v>
      </c>
      <c r="E44">
        <f t="shared" si="1"/>
        <v>361.5</v>
      </c>
      <c r="F44">
        <f t="shared" si="2"/>
        <v>900.62057474961807</v>
      </c>
      <c r="G44">
        <f t="shared" si="3"/>
        <v>2900.6205747496178</v>
      </c>
      <c r="I44" t="str">
        <f t="shared" ref="I44:I72" si="5">E42&amp;" "&amp;G42&amp;","</f>
        <v>363.25 2889.12659082543,</v>
      </c>
    </row>
    <row r="45" spans="4:9" x14ac:dyDescent="0.25">
      <c r="D45">
        <f t="shared" si="4"/>
        <v>1.25</v>
      </c>
      <c r="E45">
        <f t="shared" si="1"/>
        <v>360.25</v>
      </c>
      <c r="F45">
        <f t="shared" si="2"/>
        <v>906.35465577007426</v>
      </c>
      <c r="G45">
        <f t="shared" si="3"/>
        <v>2906.3546557700743</v>
      </c>
      <c r="I45" t="str">
        <f t="shared" si="5"/>
        <v>362.5 2894.86564161487,</v>
      </c>
    </row>
    <row r="46" spans="4:9" x14ac:dyDescent="0.25">
      <c r="D46">
        <f t="shared" si="4"/>
        <v>1.5</v>
      </c>
      <c r="E46">
        <f t="shared" si="1"/>
        <v>358.75</v>
      </c>
      <c r="F46">
        <f t="shared" si="2"/>
        <v>912.04725679993237</v>
      </c>
      <c r="G46">
        <f t="shared" si="3"/>
        <v>2912.0472567999323</v>
      </c>
      <c r="I46" t="str">
        <f t="shared" si="5"/>
        <v>361.5 2900.62057474962,</v>
      </c>
    </row>
    <row r="47" spans="4:9" x14ac:dyDescent="0.25">
      <c r="D47">
        <f t="shared" si="4"/>
        <v>1.75</v>
      </c>
      <c r="E47">
        <f t="shared" si="1"/>
        <v>357</v>
      </c>
      <c r="F47">
        <f t="shared" si="2"/>
        <v>917.68317754010116</v>
      </c>
      <c r="G47">
        <f t="shared" si="3"/>
        <v>2917.683177540101</v>
      </c>
      <c r="I47" t="str">
        <f t="shared" si="5"/>
        <v>360.25 2906.35465577007,</v>
      </c>
    </row>
    <row r="48" spans="4:9" x14ac:dyDescent="0.25">
      <c r="D48">
        <f t="shared" si="4"/>
        <v>2</v>
      </c>
      <c r="E48">
        <f t="shared" si="1"/>
        <v>355</v>
      </c>
      <c r="F48">
        <f t="shared" si="2"/>
        <v>923.24936547814605</v>
      </c>
      <c r="G48">
        <f t="shared" si="3"/>
        <v>2923.249365478146</v>
      </c>
      <c r="I48" t="str">
        <f t="shared" si="5"/>
        <v>358.75 2912.04725679993,</v>
      </c>
    </row>
    <row r="49" spans="3:10" x14ac:dyDescent="0.25">
      <c r="D49">
        <f t="shared" si="4"/>
        <v>2.25</v>
      </c>
      <c r="E49">
        <f t="shared" si="1"/>
        <v>352.75</v>
      </c>
      <c r="F49">
        <f t="shared" si="2"/>
        <v>928.73366194582638</v>
      </c>
      <c r="G49">
        <f t="shared" si="3"/>
        <v>2928.7336619458265</v>
      </c>
      <c r="I49" t="str">
        <f t="shared" si="5"/>
        <v>357 2917.6831775401,</v>
      </c>
      <c r="J49" s="4"/>
    </row>
    <row r="50" spans="3:10" x14ac:dyDescent="0.25">
      <c r="D50">
        <f t="shared" si="4"/>
        <v>2.5</v>
      </c>
      <c r="E50">
        <f t="shared" si="1"/>
        <v>350.25</v>
      </c>
      <c r="F50">
        <f t="shared" si="2"/>
        <v>934.12423596188148</v>
      </c>
      <c r="G50">
        <f t="shared" si="3"/>
        <v>2934.1242359618814</v>
      </c>
      <c r="I50" t="str">
        <f t="shared" si="5"/>
        <v>355 2923.24936547815,</v>
      </c>
    </row>
    <row r="51" spans="3:10" x14ac:dyDescent="0.25">
      <c r="D51">
        <f t="shared" si="4"/>
        <v>2.75</v>
      </c>
      <c r="E51">
        <f t="shared" si="1"/>
        <v>347.5</v>
      </c>
      <c r="F51">
        <f t="shared" si="2"/>
        <v>939.40928833124542</v>
      </c>
      <c r="G51">
        <f t="shared" si="3"/>
        <v>2939.4092883312455</v>
      </c>
      <c r="I51" t="str">
        <f t="shared" si="5"/>
        <v>352.75 2928.73366194583,</v>
      </c>
    </row>
    <row r="52" spans="3:10" x14ac:dyDescent="0.25">
      <c r="D52">
        <f t="shared" si="4"/>
        <v>3</v>
      </c>
      <c r="E52">
        <f t="shared" si="1"/>
        <v>344.5</v>
      </c>
      <c r="F52">
        <f t="shared" si="2"/>
        <v>944.57687298258543</v>
      </c>
      <c r="G52">
        <f t="shared" si="3"/>
        <v>2944.5768729825854</v>
      </c>
      <c r="I52" t="str">
        <f t="shared" si="5"/>
        <v>350.25 2934.12423596188,</v>
      </c>
    </row>
    <row r="53" spans="3:10" x14ac:dyDescent="0.25">
      <c r="D53">
        <f t="shared" si="4"/>
        <v>3.25</v>
      </c>
      <c r="E53">
        <f t="shared" si="1"/>
        <v>341.25</v>
      </c>
      <c r="F53">
        <f t="shared" si="2"/>
        <v>949.61477203562811</v>
      </c>
      <c r="G53">
        <f t="shared" si="3"/>
        <v>2949.614772035628</v>
      </c>
      <c r="I53" t="str">
        <f t="shared" si="5"/>
        <v>347.5 2939.40928833125,</v>
      </c>
    </row>
    <row r="54" spans="3:10" x14ac:dyDescent="0.25">
      <c r="D54">
        <f t="shared" si="4"/>
        <v>3.5</v>
      </c>
      <c r="E54">
        <f t="shared" si="1"/>
        <v>337.75</v>
      </c>
      <c r="F54">
        <f t="shared" si="2"/>
        <v>954.51039529153979</v>
      </c>
      <c r="G54">
        <f t="shared" si="3"/>
        <v>2954.5103952915397</v>
      </c>
      <c r="I54" t="str">
        <f t="shared" si="5"/>
        <v>344.5 2944.57687298259,</v>
      </c>
    </row>
    <row r="55" spans="3:10" x14ac:dyDescent="0.25">
      <c r="D55">
        <f t="shared" si="4"/>
        <v>3.75</v>
      </c>
      <c r="E55">
        <f t="shared" si="1"/>
        <v>334</v>
      </c>
      <c r="F55">
        <f t="shared" si="2"/>
        <v>959.25068914677468</v>
      </c>
      <c r="G55">
        <f t="shared" si="3"/>
        <v>2959.2506891467747</v>
      </c>
      <c r="H55" s="4"/>
      <c r="I55" t="str">
        <f t="shared" si="5"/>
        <v>341.25 2949.61477203563,</v>
      </c>
    </row>
    <row r="56" spans="3:10" x14ac:dyDescent="0.25">
      <c r="D56">
        <f t="shared" si="4"/>
        <v>4</v>
      </c>
      <c r="E56">
        <f t="shared" si="1"/>
        <v>330</v>
      </c>
      <c r="F56">
        <f t="shared" si="2"/>
        <v>963.82204629154251</v>
      </c>
      <c r="G56">
        <f t="shared" si="3"/>
        <v>2963.8220462915424</v>
      </c>
      <c r="I56" t="str">
        <f t="shared" si="5"/>
        <v>337.75 2954.51039529154,</v>
      </c>
    </row>
    <row r="57" spans="3:10" x14ac:dyDescent="0.25">
      <c r="D57">
        <f t="shared" si="4"/>
        <v>4.25</v>
      </c>
      <c r="E57">
        <f t="shared" si="1"/>
        <v>325.75</v>
      </c>
      <c r="F57">
        <f t="shared" si="2"/>
        <v>968.21021043390147</v>
      </c>
      <c r="G57">
        <f t="shared" si="3"/>
        <v>2968.2102104339015</v>
      </c>
      <c r="I57" t="str">
        <f t="shared" si="5"/>
        <v>334 2959.25068914677,</v>
      </c>
    </row>
    <row r="58" spans="3:10" x14ac:dyDescent="0.25">
      <c r="D58">
        <f t="shared" si="4"/>
        <v>4.5</v>
      </c>
      <c r="E58">
        <f t="shared" si="1"/>
        <v>321.25</v>
      </c>
      <c r="F58">
        <f t="shared" si="2"/>
        <v>972.40017149375296</v>
      </c>
      <c r="G58">
        <f t="shared" si="3"/>
        <v>2972.4001714937531</v>
      </c>
      <c r="I58" t="str">
        <f t="shared" si="5"/>
        <v>330 2963.82204629154,</v>
      </c>
    </row>
    <row r="59" spans="3:10" x14ac:dyDescent="0.25">
      <c r="D59">
        <f t="shared" si="4"/>
        <v>4.75</v>
      </c>
      <c r="E59">
        <f t="shared" si="1"/>
        <v>316.5</v>
      </c>
      <c r="F59">
        <f t="shared" si="2"/>
        <v>976.37604700319309</v>
      </c>
      <c r="G59">
        <f t="shared" si="3"/>
        <v>2976.376047003193</v>
      </c>
      <c r="I59" t="str">
        <f t="shared" si="5"/>
        <v>325.75 2968.2102104339,</v>
      </c>
    </row>
    <row r="60" spans="3:10" x14ac:dyDescent="0.25">
      <c r="D60">
        <f t="shared" si="4"/>
        <v>5</v>
      </c>
      <c r="E60">
        <f t="shared" si="1"/>
        <v>311.5</v>
      </c>
      <c r="F60">
        <f t="shared" si="2"/>
        <v>980.1209451522177</v>
      </c>
      <c r="G60">
        <f t="shared" si="3"/>
        <v>2980.1209451522177</v>
      </c>
      <c r="I60" t="str">
        <f t="shared" si="5"/>
        <v>321.25 2972.40017149375,</v>
      </c>
    </row>
    <row r="61" spans="3:10" x14ac:dyDescent="0.25">
      <c r="D61">
        <f t="shared" si="4"/>
        <v>5.25</v>
      </c>
      <c r="E61">
        <f t="shared" si="1"/>
        <v>306.25</v>
      </c>
      <c r="F61">
        <f t="shared" si="2"/>
        <v>983.61680414060606</v>
      </c>
      <c r="G61">
        <f t="shared" si="3"/>
        <v>2983.6168041406063</v>
      </c>
      <c r="I61" t="str">
        <f t="shared" si="5"/>
        <v>316.5 2976.37604700319,</v>
      </c>
    </row>
    <row r="62" spans="3:10" x14ac:dyDescent="0.25">
      <c r="D62">
        <f t="shared" si="4"/>
        <v>5.5</v>
      </c>
      <c r="E62">
        <f t="shared" si="1"/>
        <v>300.75</v>
      </c>
      <c r="F62">
        <f t="shared" si="2"/>
        <v>986.84420122452013</v>
      </c>
      <c r="G62">
        <f t="shared" si="3"/>
        <v>2986.84420122452</v>
      </c>
      <c r="I62" t="str">
        <f t="shared" si="5"/>
        <v>311.5 2980.12094515222,</v>
      </c>
    </row>
    <row r="63" spans="3:10" x14ac:dyDescent="0.25">
      <c r="C63">
        <f>SUM(D41:D71)</f>
        <v>116.25</v>
      </c>
      <c r="D63">
        <f t="shared" si="4"/>
        <v>5.75</v>
      </c>
      <c r="E63">
        <f t="shared" si="1"/>
        <v>295</v>
      </c>
      <c r="F63">
        <f t="shared" si="2"/>
        <v>989.78212297241748</v>
      </c>
      <c r="G63">
        <f t="shared" si="3"/>
        <v>2989.7821229724177</v>
      </c>
      <c r="I63" t="str">
        <f t="shared" si="5"/>
        <v>306.25 2983.61680414061,</v>
      </c>
    </row>
    <row r="64" spans="3:10" x14ac:dyDescent="0.25">
      <c r="C64" s="2">
        <f>E39-E70</f>
        <v>114</v>
      </c>
      <c r="D64">
        <f t="shared" si="4"/>
        <v>6</v>
      </c>
      <c r="E64">
        <f t="shared" si="1"/>
        <v>289</v>
      </c>
      <c r="F64">
        <f t="shared" si="2"/>
        <v>992.40768556136891</v>
      </c>
      <c r="G64">
        <f t="shared" si="3"/>
        <v>2992.4076855613689</v>
      </c>
      <c r="I64" t="str">
        <f t="shared" si="5"/>
        <v>300.75 2986.84420122452,</v>
      </c>
    </row>
    <row r="65" spans="4:11" x14ac:dyDescent="0.25">
      <c r="D65">
        <f t="shared" si="4"/>
        <v>6.25</v>
      </c>
      <c r="E65">
        <f t="shared" si="1"/>
        <v>282.75</v>
      </c>
      <c r="F65">
        <f t="shared" si="2"/>
        <v>994.69579010885172</v>
      </c>
      <c r="G65">
        <f t="shared" si="3"/>
        <v>2994.6957901088517</v>
      </c>
      <c r="I65" t="str">
        <f t="shared" si="5"/>
        <v>295 2989.78212297242,</v>
      </c>
    </row>
    <row r="66" spans="4:11" x14ac:dyDescent="0.25">
      <c r="D66">
        <f t="shared" si="4"/>
        <v>6.5</v>
      </c>
      <c r="E66">
        <f t="shared" si="1"/>
        <v>276.25</v>
      </c>
      <c r="F66">
        <f t="shared" si="2"/>
        <v>996.61869249833001</v>
      </c>
      <c r="G66">
        <f t="shared" si="3"/>
        <v>2996.6186924983299</v>
      </c>
      <c r="I66" t="str">
        <f t="shared" si="5"/>
        <v>289 2992.40768556137,</v>
      </c>
    </row>
    <row r="67" spans="4:11" x14ac:dyDescent="0.25">
      <c r="D67">
        <f t="shared" si="4"/>
        <v>6.75</v>
      </c>
      <c r="E67">
        <f t="shared" si="1"/>
        <v>269.5</v>
      </c>
      <c r="F67">
        <f t="shared" si="2"/>
        <v>998.14545903898374</v>
      </c>
      <c r="G67">
        <f t="shared" si="3"/>
        <v>2998.145459038984</v>
      </c>
      <c r="I67" t="str">
        <f t="shared" si="5"/>
        <v>282.75 2994.69579010885,</v>
      </c>
    </row>
    <row r="68" spans="4:11" x14ac:dyDescent="0.25">
      <c r="D68">
        <f t="shared" si="4"/>
        <v>7</v>
      </c>
      <c r="E68">
        <f t="shared" si="1"/>
        <v>262.5</v>
      </c>
      <c r="F68">
        <f t="shared" si="2"/>
        <v>999.24126716062881</v>
      </c>
      <c r="G68">
        <f t="shared" si="3"/>
        <v>2999.2412671606289</v>
      </c>
      <c r="I68" t="str">
        <f t="shared" si="5"/>
        <v>276.25 2996.61869249833,</v>
      </c>
    </row>
    <row r="69" spans="4:11" x14ac:dyDescent="0.25">
      <c r="D69">
        <f t="shared" si="4"/>
        <v>7.25</v>
      </c>
      <c r="E69">
        <f t="shared" si="1"/>
        <v>255.25</v>
      </c>
      <c r="F69">
        <f t="shared" si="2"/>
        <v>999.8664917680635</v>
      </c>
      <c r="G69">
        <f t="shared" si="3"/>
        <v>2999.8664917680635</v>
      </c>
      <c r="I69" t="str">
        <f t="shared" si="5"/>
        <v>269.5 2998.14545903898,</v>
      </c>
    </row>
    <row r="70" spans="4:11" x14ac:dyDescent="0.25">
      <c r="D70">
        <f t="shared" si="4"/>
        <v>7.5</v>
      </c>
      <c r="E70">
        <v>250</v>
      </c>
      <c r="F70">
        <v>1000</v>
      </c>
      <c r="G70">
        <f t="shared" si="3"/>
        <v>3000</v>
      </c>
      <c r="I70" t="str">
        <f t="shared" si="5"/>
        <v>262.5 2999.24126716063,</v>
      </c>
    </row>
    <row r="71" spans="4:11" x14ac:dyDescent="0.25">
      <c r="E71">
        <v>0</v>
      </c>
      <c r="F71">
        <v>1000</v>
      </c>
      <c r="G71">
        <f t="shared" si="3"/>
        <v>3000</v>
      </c>
      <c r="I71" t="str">
        <f t="shared" si="5"/>
        <v>255.25 2999.86649176806,</v>
      </c>
    </row>
    <row r="72" spans="4:11" x14ac:dyDescent="0.25">
      <c r="I72" t="str">
        <f t="shared" si="5"/>
        <v>250 3000,</v>
      </c>
    </row>
    <row r="73" spans="4:11" x14ac:dyDescent="0.25">
      <c r="I73" t="s">
        <v>43</v>
      </c>
    </row>
    <row r="74" spans="4:11" x14ac:dyDescent="0.25">
      <c r="I74" t="str">
        <f>I27&amp;I28&amp;I29&amp;I30&amp;I31&amp;I32&amp;I32&amp;I33&amp;I34&amp;I35&amp;I36&amp;I37&amp;I38&amp;I39&amp;I40&amp;I41&amp;I42&amp;I43&amp;I44&amp;I45&amp;I46&amp;I47&amp;I48&amp;I49&amp;I50&amp;I51&amp;I52&amp;I53&amp;I54&amp;I55&amp;I56&amp;I57&amp;I58&amp;I59&amp;I60&amp;I61&amp;I62&amp;I63&amp;I64&amp;I65&amp;I66&amp;I67&amp;I68&amp;I69&amp;I70&amp;I71&amp;I72&amp;I73</f>
        <v>102 -1340,160 -1200,208 -1000,275 -500,300 -100,318 300,318 300,333 700,345 1100,354 1400,358 1700,360 2000,362 2200,363 2400,363.5 2600,364 2700,363.9 2800,363.75 2883.5049329298,363.25 2889.12659082543,362.5 2894.86564161487,361.5 2900.62057474962,360.25 2906.35465577007,358.75 2912.04725679993,357 2917.6831775401,355 2923.24936547815,352.75 2928.73366194583,350.25 2934.12423596188,347.5 2939.40928833125,344.5 2944.57687298259,341.25 2949.61477203563,337.75 2954.51039529154,334 2959.25068914677,330 2963.82204629154,325.75 2968.2102104339,321.25 2972.40017149375,316.5 2976.37604700319,311.5 2980.12094515222,306.25 2983.61680414061,300.75 2986.84420122452,295 2989.78212297242,289 2992.40768556137,282.75 2994.69579010885,276.25 2996.61869249833,269.5 2998.14545903898,262.5 2999.24126716063,255.25 2999.86649176806,250 3000,0.0 3000]</v>
      </c>
    </row>
    <row r="79" spans="4:11" x14ac:dyDescent="0.25">
      <c r="J79" t="s">
        <v>29</v>
      </c>
      <c r="K79">
        <v>0</v>
      </c>
    </row>
    <row r="80" spans="4:11" x14ac:dyDescent="0.25">
      <c r="K80">
        <v>0</v>
      </c>
    </row>
    <row r="81" spans="1:15" ht="15.75" thickBot="1" x14ac:dyDescent="0.3">
      <c r="J81" t="s">
        <v>27</v>
      </c>
      <c r="K81">
        <f>-RADIANS(K80)</f>
        <v>0</v>
      </c>
    </row>
    <row r="82" spans="1:15" x14ac:dyDescent="0.25">
      <c r="D82" t="s">
        <v>3</v>
      </c>
      <c r="E82" t="s">
        <v>4</v>
      </c>
      <c r="F82" t="s">
        <v>26</v>
      </c>
      <c r="G82" t="s">
        <v>5</v>
      </c>
      <c r="I82" t="s">
        <v>6</v>
      </c>
      <c r="J82" t="s">
        <v>40</v>
      </c>
      <c r="K82" t="s">
        <v>36</v>
      </c>
      <c r="L82" t="s">
        <v>39</v>
      </c>
      <c r="M82" t="s">
        <v>36</v>
      </c>
      <c r="N82" s="9" t="s">
        <v>4</v>
      </c>
      <c r="O82" s="10"/>
    </row>
    <row r="83" spans="1:15" x14ac:dyDescent="0.25">
      <c r="A83" t="s">
        <v>7</v>
      </c>
      <c r="D83">
        <v>2</v>
      </c>
      <c r="E83">
        <f>0.018145</f>
        <v>1.8145000000000001E-2</v>
      </c>
      <c r="F83" s="1">
        <f>E83*EXP(H83)</f>
        <v>1.8290343457641481E-2</v>
      </c>
      <c r="G83" s="1">
        <v>7.9781999999999995E-3</v>
      </c>
      <c r="H83" s="1">
        <f>G83+$K$79</f>
        <v>7.9781999999999995E-3</v>
      </c>
      <c r="I83" s="1">
        <f>E83^2+G83^2</f>
        <v>3.9289270024000004E-4</v>
      </c>
      <c r="J83">
        <f>SIN($O$83*(D83+$O$84))*$O$85</f>
        <v>1.8073595467935188E-2</v>
      </c>
      <c r="K83">
        <f>(E83-J83)^2</f>
        <v>5.0986071993949012E-9</v>
      </c>
      <c r="L83" s="1">
        <f>SIN($O$87*(D83+$O$88))*$O$89</f>
        <v>7.8028847475728269E-3</v>
      </c>
      <c r="M83" s="1">
        <f>(G83-L83)^2</f>
        <v>3.0735437733603245E-8</v>
      </c>
      <c r="N83" s="5" t="s">
        <v>30</v>
      </c>
      <c r="O83" s="6">
        <v>1.5580495166388937E-3</v>
      </c>
    </row>
    <row r="84" spans="1:15" x14ac:dyDescent="0.25">
      <c r="A84" t="s">
        <v>2</v>
      </c>
      <c r="D84">
        <v>4</v>
      </c>
      <c r="E84">
        <f>0.018161</f>
        <v>1.8161E-2</v>
      </c>
      <c r="F84" s="1">
        <f t="shared" ref="F84:F109" si="6">E84*EXP(H84)</f>
        <v>1.8305338483889454E-2</v>
      </c>
      <c r="G84">
        <f>0.0079163</f>
        <v>7.9162999999999994E-3</v>
      </c>
      <c r="H84" s="1">
        <f t="shared" ref="H84:H109" si="7">G84+$K$79</f>
        <v>7.9162999999999994E-3</v>
      </c>
      <c r="I84" s="1">
        <f t="shared" ref="I84:I109" si="8">E84^2+G84^2</f>
        <v>3.9248972668999999E-4</v>
      </c>
      <c r="J84">
        <f t="shared" ref="J84:J109" si="9">SIN($O$83*(D84+$O$84))*$O$85</f>
        <v>1.8096913923142419E-2</v>
      </c>
      <c r="K84">
        <f t="shared" ref="K84:K109" si="10">(E84-J84)^2</f>
        <v>4.1070252469957435E-9</v>
      </c>
      <c r="L84" s="1">
        <f t="shared" ref="L84:L109" si="11">SIN($O$87*(D84+$O$88))*$O$89</f>
        <v>7.7460888224770309E-3</v>
      </c>
      <c r="M84" s="1">
        <f t="shared" ref="M84:M109" si="12">(G84-L84)^2</f>
        <v>2.8971844953755505E-8</v>
      </c>
      <c r="N84" s="5" t="s">
        <v>37</v>
      </c>
      <c r="O84" s="6">
        <v>753.37661021195242</v>
      </c>
    </row>
    <row r="85" spans="1:15" ht="15.75" thickBot="1" x14ac:dyDescent="0.3">
      <c r="A85" t="s">
        <v>8</v>
      </c>
      <c r="D85">
        <v>14</v>
      </c>
      <c r="E85" s="1">
        <v>1.8280000000000001E-2</v>
      </c>
      <c r="F85" s="1">
        <f t="shared" si="6"/>
        <v>1.8419735402263143E-2</v>
      </c>
      <c r="G85" s="1">
        <v>7.6150999999999996E-3</v>
      </c>
      <c r="H85" s="1">
        <f t="shared" si="7"/>
        <v>7.6150999999999996E-3</v>
      </c>
      <c r="I85" s="1">
        <f t="shared" si="8"/>
        <v>3.9214814801000008E-4</v>
      </c>
      <c r="J85">
        <f t="shared" si="9"/>
        <v>1.8210865897222955E-2</v>
      </c>
      <c r="K85">
        <f t="shared" si="10"/>
        <v>4.7795241667871269E-9</v>
      </c>
      <c r="L85" s="1">
        <f t="shared" si="11"/>
        <v>7.4610293048321275E-3</v>
      </c>
      <c r="M85" s="1">
        <f t="shared" si="12"/>
        <v>2.3737779109511374E-8</v>
      </c>
      <c r="N85" s="5" t="s">
        <v>38</v>
      </c>
      <c r="O85" s="6">
        <v>1.9572323856603929E-2</v>
      </c>
    </row>
    <row r="86" spans="1:15" x14ac:dyDescent="0.25">
      <c r="A86" t="s">
        <v>9</v>
      </c>
      <c r="D86">
        <v>28</v>
      </c>
      <c r="E86" s="1">
        <v>1.8414E-2</v>
      </c>
      <c r="F86" s="1">
        <f t="shared" si="6"/>
        <v>1.8547218743838304E-2</v>
      </c>
      <c r="G86">
        <f>0.0072086</f>
        <v>7.2085999999999999E-3</v>
      </c>
      <c r="H86" s="1">
        <f t="shared" si="7"/>
        <v>7.2085999999999999E-3</v>
      </c>
      <c r="I86" s="1">
        <f t="shared" si="8"/>
        <v>3.9103930995999998E-4</v>
      </c>
      <c r="J86">
        <f t="shared" si="9"/>
        <v>1.836296600786173E-2</v>
      </c>
      <c r="K86">
        <f t="shared" si="10"/>
        <v>2.6044683535689821E-9</v>
      </c>
      <c r="L86" s="1">
        <f t="shared" si="11"/>
        <v>7.0590198537370591E-3</v>
      </c>
      <c r="M86" s="1">
        <f t="shared" si="12"/>
        <v>2.2374220156042775E-8</v>
      </c>
      <c r="N86" s="9" t="s">
        <v>41</v>
      </c>
      <c r="O86" s="10"/>
    </row>
    <row r="87" spans="1:15" x14ac:dyDescent="0.25">
      <c r="A87" t="s">
        <v>1</v>
      </c>
      <c r="D87">
        <v>42</v>
      </c>
      <c r="E87">
        <f>0.018592</f>
        <v>1.8592000000000001E-2</v>
      </c>
      <c r="F87" s="1">
        <f t="shared" si="6"/>
        <v>1.8718637413679615E-2</v>
      </c>
      <c r="G87" s="1">
        <v>6.7882999999999997E-3</v>
      </c>
      <c r="H87" s="1">
        <f t="shared" si="7"/>
        <v>6.7882999999999997E-3</v>
      </c>
      <c r="I87" s="1">
        <f t="shared" si="8"/>
        <v>3.9174348089000003E-4</v>
      </c>
      <c r="J87">
        <f t="shared" si="9"/>
        <v>1.8506329483463809E-2</v>
      </c>
      <c r="K87">
        <f t="shared" si="10"/>
        <v>7.3394374035779102E-9</v>
      </c>
      <c r="L87" s="1">
        <f t="shared" si="11"/>
        <v>6.6537639649432391E-3</v>
      </c>
      <c r="M87" s="1">
        <f t="shared" si="12"/>
        <v>1.8099944728793929E-8</v>
      </c>
      <c r="N87" s="5" t="s">
        <v>30</v>
      </c>
      <c r="O87" s="6">
        <v>1.5318337067582836E-3</v>
      </c>
    </row>
    <row r="88" spans="1:15" x14ac:dyDescent="0.25">
      <c r="A88" t="s">
        <v>10</v>
      </c>
      <c r="D88">
        <v>52</v>
      </c>
      <c r="E88" s="1">
        <v>1.8695E-2</v>
      </c>
      <c r="F88" s="1">
        <f t="shared" si="6"/>
        <v>1.8816578350877446E-2</v>
      </c>
      <c r="G88" s="1">
        <v>6.4821999999999996E-3</v>
      </c>
      <c r="H88" s="1">
        <f t="shared" si="7"/>
        <v>6.4821999999999996E-3</v>
      </c>
      <c r="I88" s="1">
        <f t="shared" si="8"/>
        <v>3.9152194183999996E-4</v>
      </c>
      <c r="J88">
        <f t="shared" si="9"/>
        <v>1.8603345057122793E-2</v>
      </c>
      <c r="K88">
        <f t="shared" si="10"/>
        <v>8.4006285538240611E-9</v>
      </c>
      <c r="L88" s="1">
        <f t="shared" si="11"/>
        <v>6.3624110422999909E-3</v>
      </c>
      <c r="M88" s="1">
        <f t="shared" si="12"/>
        <v>1.4349394386854479E-8</v>
      </c>
      <c r="N88" s="5" t="s">
        <v>37</v>
      </c>
      <c r="O88" s="6">
        <v>1788.6442242667897</v>
      </c>
    </row>
    <row r="89" spans="1:15" ht="15.75" thickBot="1" x14ac:dyDescent="0.3">
      <c r="A89" t="s">
        <v>11</v>
      </c>
      <c r="D89">
        <v>62</v>
      </c>
      <c r="E89" s="1">
        <v>1.8803E-2</v>
      </c>
      <c r="F89" s="1">
        <f t="shared" si="6"/>
        <v>1.8919066660628495E-2</v>
      </c>
      <c r="G89" s="1">
        <v>6.1538000000000001E-3</v>
      </c>
      <c r="H89" s="1">
        <f t="shared" si="7"/>
        <v>6.1538000000000001E-3</v>
      </c>
      <c r="I89" s="1">
        <f t="shared" si="8"/>
        <v>3.9142206343999999E-4</v>
      </c>
      <c r="J89">
        <f t="shared" si="9"/>
        <v>1.8695844726086715E-2</v>
      </c>
      <c r="K89">
        <f t="shared" si="10"/>
        <v>1.1482252727431256E-8</v>
      </c>
      <c r="L89" s="1">
        <f t="shared" si="11"/>
        <v>6.0695651998702209E-3</v>
      </c>
      <c r="M89" s="1">
        <f t="shared" si="12"/>
        <v>7.0955015529038409E-9</v>
      </c>
      <c r="N89" s="7" t="s">
        <v>38</v>
      </c>
      <c r="O89" s="8">
        <v>2.0102750349637044E-2</v>
      </c>
    </row>
    <row r="90" spans="1:15" x14ac:dyDescent="0.25">
      <c r="A90" t="s">
        <v>12</v>
      </c>
      <c r="D90">
        <v>72</v>
      </c>
      <c r="E90">
        <f>0.018874</f>
        <v>1.8873999999999998E-2</v>
      </c>
      <c r="F90" s="1">
        <f t="shared" si="6"/>
        <v>1.8985000378093406E-2</v>
      </c>
      <c r="G90">
        <f>0.0058639</f>
        <v>5.8639E-3</v>
      </c>
      <c r="H90" s="1">
        <f t="shared" si="7"/>
        <v>5.8639E-3</v>
      </c>
      <c r="I90" s="1">
        <f t="shared" si="8"/>
        <v>3.9061319920999995E-4</v>
      </c>
      <c r="J90">
        <f t="shared" si="9"/>
        <v>1.8783806036345919E-2</v>
      </c>
      <c r="K90">
        <f t="shared" si="10"/>
        <v>8.1349510796333185E-9</v>
      </c>
      <c r="L90" s="1">
        <f t="shared" si="11"/>
        <v>5.7752951530119223E-3</v>
      </c>
      <c r="M90" s="1">
        <f t="shared" si="12"/>
        <v>7.8508189097806618E-9</v>
      </c>
    </row>
    <row r="91" spans="1:15" x14ac:dyDescent="0.25">
      <c r="A91" t="s">
        <v>13</v>
      </c>
      <c r="D91">
        <v>82</v>
      </c>
      <c r="E91">
        <f>0.018877</f>
        <v>1.8877000000000001E-2</v>
      </c>
      <c r="F91" s="1">
        <f t="shared" si="6"/>
        <v>1.8981948522372023E-2</v>
      </c>
      <c r="G91" s="1">
        <v>5.5442E-3</v>
      </c>
      <c r="H91" s="1">
        <f t="shared" si="7"/>
        <v>5.5442E-3</v>
      </c>
      <c r="I91" s="1">
        <f t="shared" si="8"/>
        <v>3.8707928264000008E-4</v>
      </c>
      <c r="J91">
        <f t="shared" si="9"/>
        <v>1.8867207635563359E-2</v>
      </c>
      <c r="K91">
        <f t="shared" si="10"/>
        <v>9.5890401260013133E-11</v>
      </c>
      <c r="L91" s="1">
        <f t="shared" si="11"/>
        <v>5.4796699512682095E-3</v>
      </c>
      <c r="M91" s="1">
        <f t="shared" si="12"/>
        <v>4.1641271893272501E-9</v>
      </c>
    </row>
    <row r="92" spans="1:15" x14ac:dyDescent="0.25">
      <c r="A92" t="s">
        <v>14</v>
      </c>
      <c r="D92">
        <v>92</v>
      </c>
      <c r="E92">
        <f>0.019045</f>
        <v>1.9044999999999999E-2</v>
      </c>
      <c r="F92" s="1">
        <f t="shared" si="6"/>
        <v>1.9145251088346579E-2</v>
      </c>
      <c r="G92">
        <f>0.0052501</f>
        <v>5.2500999999999997E-3</v>
      </c>
      <c r="H92" s="1">
        <f t="shared" si="7"/>
        <v>5.2500999999999997E-3</v>
      </c>
      <c r="I92" s="1">
        <f t="shared" si="8"/>
        <v>3.9027557500999994E-4</v>
      </c>
      <c r="J92">
        <f t="shared" si="9"/>
        <v>1.8946029278257785E-2</v>
      </c>
      <c r="K92">
        <f t="shared" si="10"/>
        <v>9.7952037621749313E-9</v>
      </c>
      <c r="L92" s="1">
        <f t="shared" si="11"/>
        <v>5.1827589621650317E-3</v>
      </c>
      <c r="M92" s="1">
        <f t="shared" si="12"/>
        <v>4.5348153766906017E-9</v>
      </c>
    </row>
    <row r="93" spans="1:15" x14ac:dyDescent="0.25">
      <c r="A93" t="s">
        <v>15</v>
      </c>
      <c r="D93">
        <v>102</v>
      </c>
      <c r="E93">
        <f>0.019109</f>
        <v>1.9109000000000001E-2</v>
      </c>
      <c r="F93" s="1">
        <f t="shared" si="6"/>
        <v>1.9203345876629307E-2</v>
      </c>
      <c r="G93">
        <f>0.0049251</f>
        <v>4.9251E-3</v>
      </c>
      <c r="H93" s="1">
        <f t="shared" si="7"/>
        <v>4.9251E-3</v>
      </c>
      <c r="I93" s="1">
        <f t="shared" si="8"/>
        <v>3.8941049101000005E-4</v>
      </c>
      <c r="J93">
        <f t="shared" si="9"/>
        <v>1.9020251830718288E-2</v>
      </c>
      <c r="K93">
        <f t="shared" si="10"/>
        <v>7.8762375508556316E-9</v>
      </c>
      <c r="L93" s="1">
        <f t="shared" si="11"/>
        <v>4.8846318549343112E-3</v>
      </c>
      <c r="M93" s="1">
        <f t="shared" si="12"/>
        <v>1.637670765057627E-9</v>
      </c>
    </row>
    <row r="94" spans="1:15" x14ac:dyDescent="0.25">
      <c r="A94" t="s">
        <v>16</v>
      </c>
      <c r="D94">
        <v>112</v>
      </c>
      <c r="E94">
        <f>0.01918</f>
        <v>1.9179999999999999E-2</v>
      </c>
      <c r="F94" s="1">
        <f t="shared" si="6"/>
        <v>1.9269111423536767E-2</v>
      </c>
      <c r="G94">
        <f>0.0046353</f>
        <v>4.6353000000000002E-3</v>
      </c>
      <c r="H94" s="1">
        <f t="shared" si="7"/>
        <v>4.6353000000000002E-3</v>
      </c>
      <c r="I94" s="1">
        <f t="shared" si="8"/>
        <v>3.8935840608999997E-4</v>
      </c>
      <c r="J94">
        <f t="shared" si="9"/>
        <v>1.9089857275648936E-2</v>
      </c>
      <c r="K94">
        <f t="shared" si="10"/>
        <v>8.1257107534317547E-9</v>
      </c>
      <c r="L94" s="1">
        <f t="shared" si="11"/>
        <v>4.585358584166266E-3</v>
      </c>
      <c r="M94" s="1">
        <f t="shared" si="12"/>
        <v>2.4941450154779532E-9</v>
      </c>
    </row>
    <row r="95" spans="1:15" x14ac:dyDescent="0.25">
      <c r="A95" t="s">
        <v>17</v>
      </c>
      <c r="D95">
        <v>122</v>
      </c>
      <c r="E95">
        <f>0.019259</f>
        <v>1.9258999999999998E-2</v>
      </c>
      <c r="F95" s="1">
        <f t="shared" si="6"/>
        <v>1.9342407862232354E-2</v>
      </c>
      <c r="G95">
        <f>0.0043215</f>
        <v>4.3214999999999998E-3</v>
      </c>
      <c r="H95" s="1">
        <f t="shared" si="7"/>
        <v>4.3214999999999998E-3</v>
      </c>
      <c r="I95" s="1">
        <f t="shared" si="8"/>
        <v>3.8958444324999997E-4</v>
      </c>
      <c r="J95">
        <f t="shared" si="9"/>
        <v>1.9154828716542432E-2</v>
      </c>
      <c r="K95">
        <f t="shared" si="10"/>
        <v>1.0851656297196683E-8</v>
      </c>
      <c r="L95" s="1">
        <f t="shared" si="11"/>
        <v>4.2850093733947979E-3</v>
      </c>
      <c r="M95" s="1">
        <f t="shared" si="12"/>
        <v>1.3315658300402678E-9</v>
      </c>
    </row>
    <row r="96" spans="1:15" x14ac:dyDescent="0.25">
      <c r="A96" t="s">
        <v>18</v>
      </c>
      <c r="D96">
        <v>132</v>
      </c>
      <c r="E96">
        <f>0.019298</f>
        <v>1.9297999999999999E-2</v>
      </c>
      <c r="F96" s="1">
        <f t="shared" si="6"/>
        <v>1.9375730225711804E-2</v>
      </c>
      <c r="G96">
        <f>0.0040198</f>
        <v>4.0197999999999996E-3</v>
      </c>
      <c r="H96" s="1">
        <f t="shared" si="7"/>
        <v>4.0197999999999996E-3</v>
      </c>
      <c r="I96" s="1">
        <f t="shared" si="8"/>
        <v>3.8857159603999995E-4</v>
      </c>
      <c r="J96">
        <f t="shared" si="9"/>
        <v>1.9215150381781679E-2</v>
      </c>
      <c r="K96">
        <f t="shared" si="10"/>
        <v>6.8640592389213328E-9</v>
      </c>
      <c r="L96" s="1">
        <f t="shared" si="11"/>
        <v>3.9836546986197589E-3</v>
      </c>
      <c r="M96" s="1">
        <f t="shared" si="12"/>
        <v>1.306482811868427E-9</v>
      </c>
    </row>
    <row r="97" spans="1:15" x14ac:dyDescent="0.25">
      <c r="A97" t="s">
        <v>19</v>
      </c>
      <c r="D97">
        <v>142</v>
      </c>
      <c r="E97">
        <f>0.019366</f>
        <v>1.9366000000000001E-2</v>
      </c>
      <c r="F97" s="1">
        <f t="shared" si="6"/>
        <v>1.9437637253529261E-2</v>
      </c>
      <c r="G97">
        <f>0.0036923</f>
        <v>3.6922999999999999E-3</v>
      </c>
      <c r="H97" s="1">
        <f t="shared" si="7"/>
        <v>3.6922999999999999E-3</v>
      </c>
      <c r="I97" s="1">
        <f t="shared" si="8"/>
        <v>3.8867503529000004E-4</v>
      </c>
      <c r="J97">
        <f t="shared" si="9"/>
        <v>1.9270807628468296E-2</v>
      </c>
      <c r="K97">
        <f t="shared" si="10"/>
        <v>9.0615875978302734E-9</v>
      </c>
      <c r="L97" s="1">
        <f t="shared" si="11"/>
        <v>3.6813652717699501E-3</v>
      </c>
      <c r="M97" s="1">
        <f t="shared" si="12"/>
        <v>1.195682814650484E-10</v>
      </c>
    </row>
    <row r="98" spans="1:15" x14ac:dyDescent="0.25">
      <c r="A98" t="s">
        <v>20</v>
      </c>
      <c r="D98">
        <v>152</v>
      </c>
      <c r="E98">
        <f>0.019422</f>
        <v>1.9421999999999998E-2</v>
      </c>
      <c r="F98" s="1">
        <f t="shared" si="6"/>
        <v>1.9487870456770001E-2</v>
      </c>
      <c r="G98">
        <f>0.0033858</f>
        <v>3.3858E-3</v>
      </c>
      <c r="H98" s="1">
        <f t="shared" si="7"/>
        <v>3.3858E-3</v>
      </c>
      <c r="I98" s="1">
        <f t="shared" si="8"/>
        <v>3.8867772563999994E-4</v>
      </c>
      <c r="J98">
        <f t="shared" si="9"/>
        <v>1.9321786945977124E-2</v>
      </c>
      <c r="K98">
        <f t="shared" si="10"/>
        <v>1.0042656196591614E-8</v>
      </c>
      <c r="L98" s="1">
        <f t="shared" si="11"/>
        <v>3.3782120241108399E-3</v>
      </c>
      <c r="M98" s="1">
        <f t="shared" si="12"/>
        <v>5.7577378094475802E-11</v>
      </c>
      <c r="O98" t="s">
        <v>42</v>
      </c>
    </row>
    <row r="99" spans="1:15" x14ac:dyDescent="0.25">
      <c r="A99" t="s">
        <v>21</v>
      </c>
      <c r="D99">
        <v>252</v>
      </c>
      <c r="E99">
        <f>0.019697</f>
        <v>1.9696999999999999E-2</v>
      </c>
      <c r="F99" s="1">
        <f t="shared" si="6"/>
        <v>1.9701121043446117E-2</v>
      </c>
      <c r="G99" s="1">
        <v>2.0919999999999999E-4</v>
      </c>
      <c r="H99" s="1">
        <f t="shared" si="7"/>
        <v>2.0919999999999999E-4</v>
      </c>
      <c r="I99" s="1">
        <f t="shared" si="8"/>
        <v>3.8801557363999999E-4</v>
      </c>
      <c r="J99">
        <f t="shared" si="9"/>
        <v>1.9572136989915966E-2</v>
      </c>
      <c r="K99">
        <f t="shared" si="10"/>
        <v>1.5590771287245492E-8</v>
      </c>
      <c r="L99" s="1">
        <f t="shared" si="11"/>
        <v>3.1489765686652544E-4</v>
      </c>
      <c r="M99" s="1">
        <f t="shared" si="12"/>
        <v>1.1171994667073754E-8</v>
      </c>
      <c r="O99" t="s">
        <v>44</v>
      </c>
    </row>
    <row r="100" spans="1:15" x14ac:dyDescent="0.25">
      <c r="A100" t="s">
        <v>22</v>
      </c>
      <c r="D100">
        <v>352</v>
      </c>
      <c r="E100">
        <f>0.019461</f>
        <v>1.9460999999999999E-2</v>
      </c>
      <c r="F100" s="1">
        <f t="shared" si="6"/>
        <v>1.9403090604652288E-2</v>
      </c>
      <c r="G100" s="1">
        <v>-2.9800999999999998E-3</v>
      </c>
      <c r="H100" s="1">
        <f t="shared" si="7"/>
        <v>-2.9800999999999998E-3</v>
      </c>
      <c r="I100" s="1">
        <f t="shared" si="8"/>
        <v>3.8761151700999997E-4</v>
      </c>
      <c r="J100">
        <f t="shared" si="9"/>
        <v>1.9348330179824499E-2</v>
      </c>
      <c r="K100">
        <f t="shared" si="10"/>
        <v>1.2694488378379439E-8</v>
      </c>
      <c r="L100" s="1">
        <f t="shared" si="11"/>
        <v>-2.7557913919732118E-3</v>
      </c>
      <c r="M100" s="1">
        <f t="shared" si="12"/>
        <v>5.0314351634915263E-8</v>
      </c>
    </row>
    <row r="101" spans="1:15" x14ac:dyDescent="0.25">
      <c r="A101" t="s">
        <v>24</v>
      </c>
      <c r="D101">
        <v>452</v>
      </c>
      <c r="E101">
        <f>0.018742</f>
        <v>1.8742000000000002E-2</v>
      </c>
      <c r="F101" s="1">
        <f t="shared" si="6"/>
        <v>1.8628526613207737E-2</v>
      </c>
      <c r="G101" s="1">
        <f>-0.0060729</f>
        <v>-6.0729E-3</v>
      </c>
      <c r="H101" s="1">
        <f t="shared" si="7"/>
        <v>-6.0729E-3</v>
      </c>
      <c r="I101" s="1">
        <f t="shared" si="8"/>
        <v>3.8814267841000006E-4</v>
      </c>
      <c r="J101">
        <f t="shared" si="9"/>
        <v>1.8655788485364914E-2</v>
      </c>
      <c r="K101">
        <f t="shared" si="10"/>
        <v>7.4324252556758634E-9</v>
      </c>
      <c r="L101" s="1">
        <f t="shared" si="11"/>
        <v>-5.7619417450937137E-3</v>
      </c>
      <c r="M101" s="1">
        <f t="shared" si="12"/>
        <v>9.6695036294362893E-8</v>
      </c>
    </row>
    <row r="102" spans="1:15" x14ac:dyDescent="0.25">
      <c r="A102" t="s">
        <v>23</v>
      </c>
      <c r="D102">
        <v>552</v>
      </c>
      <c r="E102">
        <f>0.01758</f>
        <v>1.7579999999999998E-2</v>
      </c>
      <c r="F102" s="1">
        <f t="shared" si="6"/>
        <v>1.7422385324201744E-2</v>
      </c>
      <c r="G102">
        <f>-0.009006</f>
        <v>-9.0060000000000001E-3</v>
      </c>
      <c r="H102" s="1">
        <f t="shared" si="7"/>
        <v>-9.0060000000000001E-3</v>
      </c>
      <c r="I102" s="1">
        <f t="shared" si="8"/>
        <v>3.9016443599999997E-4</v>
      </c>
      <c r="J102">
        <f t="shared" si="9"/>
        <v>1.7511289501712383E-2</v>
      </c>
      <c r="K102">
        <f t="shared" si="10"/>
        <v>4.7211325749324311E-9</v>
      </c>
      <c r="L102" s="1">
        <f t="shared" si="11"/>
        <v>-8.6331514760315184E-3</v>
      </c>
      <c r="M102" s="1">
        <f t="shared" si="12"/>
        <v>1.3901602182547548E-7</v>
      </c>
    </row>
    <row r="103" spans="1:15" x14ac:dyDescent="0.25">
      <c r="A103" t="s">
        <v>25</v>
      </c>
      <c r="D103">
        <v>602</v>
      </c>
      <c r="E103">
        <f>0.016851</f>
        <v>1.6851000000000001E-2</v>
      </c>
      <c r="F103" s="1">
        <f t="shared" si="6"/>
        <v>1.6677608347679829E-2</v>
      </c>
      <c r="G103">
        <f>-0.010343</f>
        <v>-1.0343E-2</v>
      </c>
      <c r="H103" s="1">
        <f t="shared" si="7"/>
        <v>-1.0343E-2</v>
      </c>
      <c r="I103" s="1">
        <f t="shared" si="8"/>
        <v>3.9093385000000007E-4</v>
      </c>
      <c r="J103">
        <f t="shared" si="9"/>
        <v>1.6777809555301452E-2</v>
      </c>
      <c r="K103">
        <f t="shared" si="10"/>
        <v>5.3568411951714434E-9</v>
      </c>
      <c r="L103" s="1">
        <f t="shared" si="11"/>
        <v>-9.996973396512971E-3</v>
      </c>
      <c r="M103" s="1">
        <f t="shared" si="12"/>
        <v>1.197344103207694E-7</v>
      </c>
    </row>
    <row r="104" spans="1:15" x14ac:dyDescent="0.25">
      <c r="A104" t="s">
        <v>28</v>
      </c>
      <c r="D104">
        <v>902</v>
      </c>
      <c r="E104">
        <f>0.010425</f>
        <v>1.0425E-2</v>
      </c>
      <c r="F104" s="1">
        <f t="shared" si="6"/>
        <v>1.0250431145596973E-2</v>
      </c>
      <c r="G104">
        <f>-0.016887</f>
        <v>-1.6886999999999999E-2</v>
      </c>
      <c r="H104" s="1">
        <f t="shared" si="7"/>
        <v>-1.6886999999999999E-2</v>
      </c>
      <c r="I104" s="1">
        <f t="shared" si="8"/>
        <v>3.9385139399999996E-4</v>
      </c>
      <c r="J104">
        <f t="shared" si="9"/>
        <v>1.0436878652521872E-2</v>
      </c>
      <c r="K104">
        <f t="shared" si="10"/>
        <v>1.4110238573536401E-10</v>
      </c>
      <c r="L104" s="1">
        <f t="shared" si="11"/>
        <v>-1.6695582091635932E-2</v>
      </c>
      <c r="M104" s="1">
        <f t="shared" si="12"/>
        <v>3.6640815642474458E-8</v>
      </c>
    </row>
    <row r="105" spans="1:15" x14ac:dyDescent="0.25">
      <c r="A105" t="s">
        <v>32</v>
      </c>
      <c r="D105">
        <v>1202</v>
      </c>
      <c r="E105">
        <f>0.0019038</f>
        <v>1.9038E-3</v>
      </c>
      <c r="F105" s="1">
        <f t="shared" si="6"/>
        <v>1.8662011402808022E-3</v>
      </c>
      <c r="G105">
        <f>-0.019947</f>
        <v>-1.9946999999999999E-2</v>
      </c>
      <c r="H105" s="1">
        <f t="shared" si="7"/>
        <v>-1.9946999999999999E-2</v>
      </c>
      <c r="I105" s="1">
        <f t="shared" si="8"/>
        <v>4.0150726343999996E-4</v>
      </c>
      <c r="J105">
        <f t="shared" si="9"/>
        <v>1.8569468089372025E-3</v>
      </c>
      <c r="K105">
        <f t="shared" si="10"/>
        <v>2.195221512767002E-9</v>
      </c>
      <c r="L105" s="1">
        <f t="shared" si="11"/>
        <v>-1.9929928751220648E-2</v>
      </c>
      <c r="M105" s="1">
        <f t="shared" si="12"/>
        <v>2.9142753488651803E-10</v>
      </c>
    </row>
    <row r="106" spans="1:15" x14ac:dyDescent="0.25">
      <c r="A106" t="s">
        <v>31</v>
      </c>
      <c r="D106">
        <v>1502</v>
      </c>
      <c r="E106">
        <f>-0.0068927</f>
        <v>-6.8926999999999999E-3</v>
      </c>
      <c r="F106" s="1">
        <f t="shared" si="6"/>
        <v>-6.7645644760109458E-3</v>
      </c>
      <c r="G106">
        <f>-0.018765</f>
        <v>-1.8765E-2</v>
      </c>
      <c r="H106" s="1">
        <f t="shared" si="7"/>
        <v>-1.8765E-2</v>
      </c>
      <c r="I106" s="1">
        <f t="shared" si="8"/>
        <v>3.9963453829000003E-4</v>
      </c>
      <c r="J106">
        <f t="shared" si="9"/>
        <v>-7.1213518060413913E-3</v>
      </c>
      <c r="K106">
        <f t="shared" si="10"/>
        <v>5.2281648405990103E-8</v>
      </c>
      <c r="L106" s="1">
        <f t="shared" si="11"/>
        <v>-1.9028900245993099E-2</v>
      </c>
      <c r="M106" s="1">
        <f t="shared" si="12"/>
        <v>6.9643339835217826E-8</v>
      </c>
    </row>
    <row r="107" spans="1:15" x14ac:dyDescent="0.25">
      <c r="A107" t="s">
        <v>33</v>
      </c>
      <c r="D107">
        <v>1702</v>
      </c>
      <c r="E107">
        <f>-0.011979</f>
        <v>-1.1979E-2</v>
      </c>
      <c r="F107" s="1">
        <f t="shared" si="6"/>
        <v>-1.1791360670447663E-2</v>
      </c>
      <c r="G107">
        <f>-0.015788</f>
        <v>-1.5788E-2</v>
      </c>
      <c r="H107" s="1">
        <f t="shared" si="7"/>
        <v>-1.5788E-2</v>
      </c>
      <c r="I107" s="1">
        <f t="shared" si="8"/>
        <v>3.9275738499999996E-4</v>
      </c>
      <c r="J107">
        <f t="shared" si="9"/>
        <v>-1.2367803978271268E-2</v>
      </c>
      <c r="K107">
        <f t="shared" si="10"/>
        <v>1.5116853351956455E-7</v>
      </c>
      <c r="L107" s="1">
        <f t="shared" si="11"/>
        <v>-1.6187761740600562E-2</v>
      </c>
      <c r="M107" s="1">
        <f t="shared" si="12"/>
        <v>1.5980944924799101E-7</v>
      </c>
    </row>
    <row r="108" spans="1:15" x14ac:dyDescent="0.25">
      <c r="A108" t="s">
        <v>34</v>
      </c>
      <c r="D108">
        <v>2202</v>
      </c>
      <c r="E108">
        <f>-0.018603</f>
        <v>-1.8603000000000001E-2</v>
      </c>
      <c r="F108" s="1">
        <f t="shared" si="6"/>
        <v>-1.8545256796141666E-2</v>
      </c>
      <c r="G108">
        <f>-0.0031088</f>
        <v>-3.1088000000000001E-3</v>
      </c>
      <c r="H108" s="1">
        <f t="shared" si="7"/>
        <v>-3.1088000000000001E-3</v>
      </c>
      <c r="I108" s="1">
        <f t="shared" si="8"/>
        <v>3.5573624644000002E-4</v>
      </c>
      <c r="J108">
        <f t="shared" si="9"/>
        <v>-1.9458782358244955E-2</v>
      </c>
      <c r="K108">
        <f t="shared" si="10"/>
        <v>7.3236344468329462E-7</v>
      </c>
      <c r="L108" s="1">
        <f t="shared" si="11"/>
        <v>-3.4046358905127907E-3</v>
      </c>
      <c r="M108" s="1">
        <f t="shared" si="12"/>
        <v>8.7518874115495838E-8</v>
      </c>
    </row>
    <row r="109" spans="1:15" x14ac:dyDescent="0.25">
      <c r="A109" t="s">
        <v>35</v>
      </c>
      <c r="D109">
        <v>2702</v>
      </c>
      <c r="E109">
        <f>-0.014663</f>
        <v>-1.4663000000000001E-2</v>
      </c>
      <c r="F109" s="1">
        <f t="shared" si="6"/>
        <v>-1.4817298473221741E-2</v>
      </c>
      <c r="G109">
        <f>0.010468</f>
        <v>1.0468E-2</v>
      </c>
      <c r="H109" s="1">
        <f t="shared" si="7"/>
        <v>1.0468E-2</v>
      </c>
      <c r="I109" s="1">
        <f t="shared" si="8"/>
        <v>3.2458259300000003E-4</v>
      </c>
      <c r="J109">
        <f t="shared" si="9"/>
        <v>-1.532589877294855E-2</v>
      </c>
      <c r="K109">
        <f t="shared" si="10"/>
        <v>4.3943478317669223E-7</v>
      </c>
      <c r="L109" s="1">
        <f t="shared" si="11"/>
        <v>1.1279998855168494E-2</v>
      </c>
      <c r="M109" s="1">
        <f t="shared" si="12"/>
        <v>6.5934214079494588E-7</v>
      </c>
    </row>
    <row r="110" spans="1:15" x14ac:dyDescent="0.25">
      <c r="K110">
        <f>SUM(K83:K109)</f>
        <v>1.538040288904924E-6</v>
      </c>
      <c r="M110" s="1">
        <f>SUM(M83:M109)</f>
        <v>1.5990387560928757E-6</v>
      </c>
    </row>
  </sheetData>
  <mergeCells count="2">
    <mergeCell ref="N82:O82"/>
    <mergeCell ref="N86:O86"/>
  </mergeCells>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936C2-9281-457B-AA85-E812D5DC509E}">
  <dimension ref="A1:P164"/>
  <sheetViews>
    <sheetView workbookViewId="0">
      <selection activeCell="K23" sqref="K23"/>
    </sheetView>
  </sheetViews>
  <sheetFormatPr defaultRowHeight="15" x14ac:dyDescent="0.25"/>
  <cols>
    <col min="3" max="3" width="12" style="2" bestFit="1" customWidth="1"/>
    <col min="4" max="4" width="12" bestFit="1" customWidth="1"/>
    <col min="5" max="5" width="12" customWidth="1"/>
    <col min="6" max="6" width="12" bestFit="1" customWidth="1"/>
    <col min="8" max="8" width="12" bestFit="1" customWidth="1"/>
    <col min="11" max="11" width="12.7109375" bestFit="1" customWidth="1"/>
    <col min="16" max="16" width="12" bestFit="1" customWidth="1"/>
  </cols>
  <sheetData>
    <row r="1" spans="1:14" x14ac:dyDescent="0.25">
      <c r="A1">
        <v>4</v>
      </c>
      <c r="B1">
        <v>5.8001733154399403E-4</v>
      </c>
      <c r="C1"/>
      <c r="M1">
        <v>2</v>
      </c>
      <c r="N1">
        <v>5.8770921107485503E-4</v>
      </c>
    </row>
    <row r="2" spans="1:14" x14ac:dyDescent="0.25">
      <c r="A2">
        <v>5</v>
      </c>
      <c r="B2">
        <v>5.81150415442476E-4</v>
      </c>
      <c r="C2"/>
      <c r="M2">
        <v>102</v>
      </c>
      <c r="N2">
        <v>5.2600098611054803E-4</v>
      </c>
    </row>
    <row r="3" spans="1:14" x14ac:dyDescent="0.25">
      <c r="A3">
        <v>6</v>
      </c>
      <c r="B3">
        <v>5.8033509425916999E-4</v>
      </c>
      <c r="C3"/>
      <c r="M3">
        <v>202</v>
      </c>
      <c r="N3">
        <v>4.6647046427471402E-4</v>
      </c>
    </row>
    <row r="4" spans="1:14" x14ac:dyDescent="0.25">
      <c r="A4">
        <v>7</v>
      </c>
      <c r="B4">
        <v>5.7978181219790802E-4</v>
      </c>
      <c r="C4"/>
      <c r="M4">
        <v>302</v>
      </c>
      <c r="N4">
        <v>4.1178354795567198E-4</v>
      </c>
    </row>
    <row r="5" spans="1:14" x14ac:dyDescent="0.25">
      <c r="A5">
        <v>8</v>
      </c>
      <c r="B5">
        <v>5.79492900143577E-4</v>
      </c>
      <c r="C5"/>
      <c r="M5">
        <v>402</v>
      </c>
      <c r="N5">
        <v>3.61015696046953E-4</v>
      </c>
    </row>
    <row r="6" spans="1:14" x14ac:dyDescent="0.25">
      <c r="A6">
        <v>9</v>
      </c>
      <c r="B6">
        <v>5.7875554804798896E-4</v>
      </c>
      <c r="C6"/>
      <c r="G6" s="3"/>
      <c r="M6">
        <v>502</v>
      </c>
      <c r="N6">
        <v>3.1503460999858502E-4</v>
      </c>
    </row>
    <row r="7" spans="1:14" x14ac:dyDescent="0.25">
      <c r="A7">
        <v>10</v>
      </c>
      <c r="B7">
        <v>5.7803744523658501E-4</v>
      </c>
      <c r="C7"/>
      <c r="G7" s="3"/>
      <c r="M7">
        <v>602</v>
      </c>
      <c r="N7">
        <v>2.7148007139882299E-4</v>
      </c>
    </row>
    <row r="8" spans="1:14" x14ac:dyDescent="0.25">
      <c r="A8">
        <v>11</v>
      </c>
      <c r="B8">
        <v>5.7730598793659599E-4</v>
      </c>
      <c r="C8"/>
      <c r="H8" s="3"/>
      <c r="M8">
        <v>702</v>
      </c>
      <c r="N8">
        <v>2.3209333764202101E-4</v>
      </c>
    </row>
    <row r="9" spans="1:14" x14ac:dyDescent="0.25">
      <c r="A9">
        <v>12</v>
      </c>
      <c r="B9">
        <v>5.7659643598773698E-4</v>
      </c>
      <c r="C9"/>
      <c r="M9">
        <v>802</v>
      </c>
      <c r="N9">
        <v>1.96627296506822E-4</v>
      </c>
    </row>
    <row r="10" spans="1:14" x14ac:dyDescent="0.25">
      <c r="A10">
        <v>13</v>
      </c>
      <c r="B10">
        <v>5.76258260791675E-4</v>
      </c>
      <c r="C10"/>
      <c r="M10">
        <v>902</v>
      </c>
      <c r="N10">
        <v>1.6459551162402501E-4</v>
      </c>
    </row>
    <row r="11" spans="1:14" x14ac:dyDescent="0.25">
      <c r="A11">
        <v>14</v>
      </c>
      <c r="B11">
        <v>5.7569311325493696E-4</v>
      </c>
      <c r="C11"/>
      <c r="M11">
        <v>1002</v>
      </c>
      <c r="N11">
        <v>1.37594687234035E-4</v>
      </c>
    </row>
    <row r="12" spans="1:14" x14ac:dyDescent="0.25">
      <c r="A12">
        <v>15</v>
      </c>
      <c r="B12">
        <v>5.7503074697609505E-4</v>
      </c>
      <c r="C12"/>
      <c r="M12">
        <v>1102</v>
      </c>
      <c r="N12">
        <v>1.13468415680007E-4</v>
      </c>
    </row>
    <row r="13" spans="1:14" x14ac:dyDescent="0.25">
      <c r="A13">
        <v>16</v>
      </c>
      <c r="B13">
        <v>5.7526039950982395E-4</v>
      </c>
      <c r="C13"/>
      <c r="M13">
        <v>1202</v>
      </c>
      <c r="N13" s="1">
        <v>9.2958880383785798E-5</v>
      </c>
    </row>
    <row r="14" spans="1:14" x14ac:dyDescent="0.25">
      <c r="A14">
        <v>17</v>
      </c>
      <c r="B14">
        <v>5.74159947291795E-4</v>
      </c>
      <c r="C14"/>
      <c r="M14">
        <v>1302</v>
      </c>
      <c r="N14" s="1">
        <v>7.5989204847917594E-5</v>
      </c>
    </row>
    <row r="15" spans="1:14" x14ac:dyDescent="0.25">
      <c r="A15">
        <v>18</v>
      </c>
      <c r="B15">
        <v>5.7344084514703399E-4</v>
      </c>
      <c r="C15"/>
      <c r="M15">
        <v>1402</v>
      </c>
      <c r="N15" s="1">
        <v>6.1932776774197796E-5</v>
      </c>
    </row>
    <row r="16" spans="1:14" x14ac:dyDescent="0.25">
      <c r="A16">
        <v>19</v>
      </c>
      <c r="B16">
        <v>5.7296387421754895E-4</v>
      </c>
      <c r="C16"/>
      <c r="M16">
        <v>1502</v>
      </c>
      <c r="N16" s="1">
        <v>5.0768945921197801E-5</v>
      </c>
    </row>
    <row r="17" spans="1:16" x14ac:dyDescent="0.25">
      <c r="A17">
        <v>20</v>
      </c>
      <c r="B17">
        <v>5.7325902519734704E-4</v>
      </c>
      <c r="C17"/>
      <c r="M17">
        <v>1602</v>
      </c>
      <c r="N17" s="1">
        <v>4.1519281561702603E-5</v>
      </c>
      <c r="P17">
        <f>SQRT(1.054E-34/2/PI()/(1.14E-26)/(120000000000))</f>
        <v>1.1073561515324142E-10</v>
      </c>
    </row>
    <row r="18" spans="1:16" x14ac:dyDescent="0.25">
      <c r="A18">
        <v>21</v>
      </c>
      <c r="B18">
        <v>5.6869041220905297E-4</v>
      </c>
      <c r="C18"/>
      <c r="M18">
        <v>1702</v>
      </c>
      <c r="N18" s="1">
        <v>3.4798660348758199E-5</v>
      </c>
    </row>
    <row r="19" spans="1:16" x14ac:dyDescent="0.25">
      <c r="A19">
        <v>22</v>
      </c>
      <c r="B19">
        <v>5.6811944704586003E-4</v>
      </c>
      <c r="C19"/>
      <c r="M19">
        <v>1802</v>
      </c>
      <c r="N19" s="1">
        <v>2.9076896569207799E-5</v>
      </c>
    </row>
    <row r="20" spans="1:16" x14ac:dyDescent="0.25">
      <c r="A20">
        <v>23</v>
      </c>
      <c r="B20">
        <v>5.7150608875187895E-4</v>
      </c>
      <c r="C20"/>
      <c r="M20">
        <v>1902</v>
      </c>
      <c r="N20" s="1">
        <v>2.4716244826248401E-5</v>
      </c>
    </row>
    <row r="21" spans="1:16" x14ac:dyDescent="0.25">
      <c r="A21">
        <v>24</v>
      </c>
      <c r="B21">
        <v>5.70463720834095E-4</v>
      </c>
      <c r="C21"/>
      <c r="M21">
        <v>2002</v>
      </c>
      <c r="N21" s="1">
        <v>2.15205763638132E-5</v>
      </c>
    </row>
    <row r="22" spans="1:16" x14ac:dyDescent="0.25">
      <c r="A22">
        <v>25</v>
      </c>
      <c r="B22">
        <v>5.7001723806796305E-4</v>
      </c>
      <c r="C22"/>
      <c r="M22">
        <v>2102</v>
      </c>
      <c r="N22" s="1">
        <v>1.8930250974854201E-5</v>
      </c>
    </row>
    <row r="23" spans="1:16" x14ac:dyDescent="0.25">
      <c r="A23">
        <v>26</v>
      </c>
      <c r="B23">
        <v>5.6908941896578399E-4</v>
      </c>
      <c r="C23"/>
      <c r="M23">
        <v>2202</v>
      </c>
      <c r="N23" s="1">
        <v>1.6804249819676498E-5</v>
      </c>
    </row>
    <row r="24" spans="1:16" x14ac:dyDescent="0.25">
      <c r="A24">
        <v>27</v>
      </c>
      <c r="B24">
        <v>5.6867416834022199E-4</v>
      </c>
      <c r="C24"/>
      <c r="M24">
        <v>2302</v>
      </c>
      <c r="N24" s="1">
        <v>1.5025962385186401E-5</v>
      </c>
    </row>
    <row r="25" spans="1:16" x14ac:dyDescent="0.25">
      <c r="A25">
        <v>28</v>
      </c>
      <c r="B25">
        <v>5.6804936393354904E-4</v>
      </c>
      <c r="C25"/>
      <c r="M25">
        <v>2402</v>
      </c>
      <c r="N25" s="1">
        <v>1.36090000505961E-5</v>
      </c>
    </row>
    <row r="26" spans="1:16" x14ac:dyDescent="0.25">
      <c r="A26">
        <v>29</v>
      </c>
      <c r="B26">
        <v>5.6822205841821098E-4</v>
      </c>
      <c r="C26"/>
      <c r="M26">
        <v>2502</v>
      </c>
      <c r="N26" s="1">
        <v>1.2312899887880301E-5</v>
      </c>
    </row>
    <row r="27" spans="1:16" x14ac:dyDescent="0.25">
      <c r="A27">
        <v>30</v>
      </c>
      <c r="B27">
        <v>5.67270439746916E-4</v>
      </c>
      <c r="C27"/>
      <c r="M27">
        <v>2602</v>
      </c>
      <c r="N27" s="1">
        <v>1.1272401021021599E-5</v>
      </c>
    </row>
    <row r="28" spans="1:16" x14ac:dyDescent="0.25">
      <c r="A28">
        <v>31</v>
      </c>
      <c r="B28">
        <v>5.6682774325824998E-4</v>
      </c>
      <c r="C28"/>
    </row>
    <row r="29" spans="1:16" x14ac:dyDescent="0.25">
      <c r="A29">
        <v>32</v>
      </c>
      <c r="B29">
        <v>5.6596166911512997E-4</v>
      </c>
      <c r="C29"/>
    </row>
    <row r="30" spans="1:16" x14ac:dyDescent="0.25">
      <c r="A30">
        <v>33</v>
      </c>
      <c r="B30">
        <v>5.6538612470827395E-4</v>
      </c>
      <c r="C30"/>
    </row>
    <row r="31" spans="1:16" x14ac:dyDescent="0.25">
      <c r="A31">
        <v>34</v>
      </c>
      <c r="B31">
        <v>5.6440474179745496E-4</v>
      </c>
      <c r="C31"/>
    </row>
    <row r="32" spans="1:16" x14ac:dyDescent="0.25">
      <c r="A32">
        <v>35</v>
      </c>
      <c r="B32">
        <v>5.6281361390389604E-4</v>
      </c>
      <c r="C32"/>
    </row>
    <row r="33" spans="1:3" x14ac:dyDescent="0.25">
      <c r="A33">
        <v>36</v>
      </c>
      <c r="B33">
        <v>5.6191635239640696E-4</v>
      </c>
      <c r="C33"/>
    </row>
    <row r="34" spans="1:3" x14ac:dyDescent="0.25">
      <c r="A34">
        <v>37</v>
      </c>
      <c r="B34">
        <v>5.6105143628236995E-4</v>
      </c>
      <c r="C34"/>
    </row>
    <row r="35" spans="1:3" x14ac:dyDescent="0.25">
      <c r="A35">
        <v>38</v>
      </c>
      <c r="B35">
        <v>5.6058404255674105E-4</v>
      </c>
      <c r="C35"/>
    </row>
    <row r="36" spans="1:3" x14ac:dyDescent="0.25">
      <c r="A36">
        <v>39</v>
      </c>
      <c r="B36">
        <v>5.6044640187048495E-4</v>
      </c>
      <c r="C36"/>
    </row>
    <row r="37" spans="1:3" x14ac:dyDescent="0.25">
      <c r="A37">
        <v>40</v>
      </c>
      <c r="B37">
        <v>5.5990499937381305E-4</v>
      </c>
      <c r="C37"/>
    </row>
    <row r="38" spans="1:3" x14ac:dyDescent="0.25">
      <c r="A38">
        <v>41</v>
      </c>
      <c r="B38">
        <v>5.5861367302822702E-4</v>
      </c>
      <c r="C38"/>
    </row>
    <row r="39" spans="1:3" x14ac:dyDescent="0.25">
      <c r="A39">
        <v>42</v>
      </c>
      <c r="B39">
        <v>5.5852188224839801E-4</v>
      </c>
      <c r="C39"/>
    </row>
    <row r="40" spans="1:3" x14ac:dyDescent="0.25">
      <c r="A40">
        <v>43</v>
      </c>
      <c r="B40">
        <v>5.5806785783205201E-4</v>
      </c>
      <c r="C40"/>
    </row>
    <row r="41" spans="1:3" x14ac:dyDescent="0.25">
      <c r="A41">
        <v>44</v>
      </c>
      <c r="B41">
        <v>5.5541016973057096E-4</v>
      </c>
      <c r="C41"/>
    </row>
    <row r="42" spans="1:3" x14ac:dyDescent="0.25">
      <c r="A42">
        <v>45</v>
      </c>
      <c r="B42">
        <v>5.5426938186570196E-4</v>
      </c>
      <c r="C42"/>
    </row>
    <row r="43" spans="1:3" x14ac:dyDescent="0.25">
      <c r="A43">
        <v>46</v>
      </c>
      <c r="B43">
        <v>5.5290574094080201E-4</v>
      </c>
      <c r="C43"/>
    </row>
    <row r="44" spans="1:3" x14ac:dyDescent="0.25">
      <c r="A44">
        <v>47</v>
      </c>
      <c r="B44">
        <v>5.5215846610719599E-4</v>
      </c>
      <c r="C44"/>
    </row>
    <row r="45" spans="1:3" x14ac:dyDescent="0.25">
      <c r="A45">
        <v>48</v>
      </c>
      <c r="B45">
        <v>5.5207961821804297E-4</v>
      </c>
      <c r="C45"/>
    </row>
    <row r="46" spans="1:3" x14ac:dyDescent="0.25">
      <c r="A46">
        <v>49</v>
      </c>
      <c r="B46">
        <v>5.5115109019509298E-4</v>
      </c>
      <c r="C46"/>
    </row>
    <row r="47" spans="1:3" x14ac:dyDescent="0.25">
      <c r="A47">
        <v>50</v>
      </c>
      <c r="B47">
        <v>5.5072561070080997E-4</v>
      </c>
      <c r="C47"/>
    </row>
    <row r="48" spans="1:3" x14ac:dyDescent="0.25">
      <c r="A48">
        <v>51</v>
      </c>
      <c r="B48">
        <v>5.4976275950136704E-4</v>
      </c>
      <c r="C48"/>
    </row>
    <row r="49" spans="1:3" x14ac:dyDescent="0.25">
      <c r="A49">
        <v>52</v>
      </c>
      <c r="B49">
        <v>5.4936091632118997E-4</v>
      </c>
      <c r="C49"/>
    </row>
    <row r="50" spans="1:3" x14ac:dyDescent="0.25">
      <c r="A50">
        <v>53</v>
      </c>
      <c r="B50">
        <v>5.4880809289621797E-4</v>
      </c>
      <c r="C50"/>
    </row>
    <row r="51" spans="1:3" x14ac:dyDescent="0.25">
      <c r="A51">
        <v>54</v>
      </c>
      <c r="B51">
        <v>5.4822155497740496E-4</v>
      </c>
      <c r="C51"/>
    </row>
    <row r="52" spans="1:3" x14ac:dyDescent="0.25">
      <c r="A52">
        <v>55</v>
      </c>
      <c r="B52">
        <v>5.4730936950507503E-4</v>
      </c>
      <c r="C52"/>
    </row>
    <row r="53" spans="1:3" x14ac:dyDescent="0.25">
      <c r="A53">
        <v>56</v>
      </c>
      <c r="B53">
        <v>5.4599643397493496E-4</v>
      </c>
      <c r="C53"/>
    </row>
    <row r="54" spans="1:3" x14ac:dyDescent="0.25">
      <c r="A54">
        <v>57</v>
      </c>
      <c r="B54">
        <v>5.4554687447249599E-4</v>
      </c>
      <c r="C54"/>
    </row>
    <row r="55" spans="1:3" x14ac:dyDescent="0.25">
      <c r="A55">
        <v>58</v>
      </c>
      <c r="B55">
        <v>5.4464671504429599E-4</v>
      </c>
      <c r="C55"/>
    </row>
    <row r="56" spans="1:3" x14ac:dyDescent="0.25">
      <c r="A56">
        <v>59</v>
      </c>
      <c r="B56">
        <v>5.4402766517427795E-4</v>
      </c>
      <c r="C56"/>
    </row>
    <row r="57" spans="1:3" x14ac:dyDescent="0.25">
      <c r="A57">
        <v>60</v>
      </c>
      <c r="B57">
        <v>5.4337577415760599E-4</v>
      </c>
      <c r="C57"/>
    </row>
    <row r="58" spans="1:3" x14ac:dyDescent="0.25">
      <c r="A58">
        <v>61</v>
      </c>
      <c r="B58">
        <v>5.4308725363454895E-4</v>
      </c>
      <c r="C58"/>
    </row>
    <row r="59" spans="1:3" x14ac:dyDescent="0.25">
      <c r="A59">
        <v>62</v>
      </c>
      <c r="B59">
        <v>5.4253315233906399E-4</v>
      </c>
      <c r="C59"/>
    </row>
    <row r="60" spans="1:3" x14ac:dyDescent="0.25">
      <c r="A60">
        <v>63</v>
      </c>
      <c r="B60">
        <v>5.4238350758204997E-4</v>
      </c>
      <c r="C60"/>
    </row>
    <row r="61" spans="1:3" x14ac:dyDescent="0.25">
      <c r="A61">
        <v>64</v>
      </c>
      <c r="B61">
        <v>5.4120921532755501E-4</v>
      </c>
      <c r="C61"/>
    </row>
    <row r="62" spans="1:3" x14ac:dyDescent="0.25">
      <c r="A62">
        <v>65</v>
      </c>
      <c r="B62">
        <v>5.4043712986209498E-4</v>
      </c>
      <c r="C62"/>
    </row>
    <row r="63" spans="1:3" x14ac:dyDescent="0.25">
      <c r="A63">
        <v>66</v>
      </c>
      <c r="B63">
        <v>5.4399083883805701E-4</v>
      </c>
      <c r="C63"/>
    </row>
    <row r="64" spans="1:3" x14ac:dyDescent="0.25">
      <c r="A64">
        <v>67</v>
      </c>
      <c r="B64">
        <v>5.43281424304017E-4</v>
      </c>
      <c r="C64"/>
    </row>
    <row r="65" spans="1:3" x14ac:dyDescent="0.25">
      <c r="A65">
        <v>68</v>
      </c>
      <c r="B65">
        <v>5.4306529191074603E-4</v>
      </c>
      <c r="C65"/>
    </row>
    <row r="66" spans="1:3" x14ac:dyDescent="0.25">
      <c r="A66">
        <v>69</v>
      </c>
      <c r="B66">
        <v>5.4213703127906098E-4</v>
      </c>
      <c r="C66"/>
    </row>
    <row r="67" spans="1:3" x14ac:dyDescent="0.25">
      <c r="A67">
        <v>70</v>
      </c>
      <c r="B67">
        <v>5.4198346572829003E-4</v>
      </c>
      <c r="C67"/>
    </row>
    <row r="68" spans="1:3" x14ac:dyDescent="0.25">
      <c r="A68">
        <v>71</v>
      </c>
      <c r="B68">
        <v>5.4096931329071496E-4</v>
      </c>
      <c r="C68"/>
    </row>
    <row r="69" spans="1:3" x14ac:dyDescent="0.25">
      <c r="A69">
        <v>72</v>
      </c>
      <c r="B69">
        <v>5.3951749136485505E-4</v>
      </c>
      <c r="C69"/>
    </row>
    <row r="70" spans="1:3" x14ac:dyDescent="0.25">
      <c r="A70">
        <v>73</v>
      </c>
      <c r="B70">
        <v>5.3996138847436698E-4</v>
      </c>
      <c r="C70"/>
    </row>
    <row r="71" spans="1:3" x14ac:dyDescent="0.25">
      <c r="A71">
        <v>74</v>
      </c>
      <c r="B71">
        <v>5.3865580521694702E-4</v>
      </c>
      <c r="C71"/>
    </row>
    <row r="72" spans="1:3" x14ac:dyDescent="0.25">
      <c r="A72">
        <v>75</v>
      </c>
      <c r="B72">
        <v>5.3855582752064405E-4</v>
      </c>
      <c r="C72"/>
    </row>
    <row r="73" spans="1:3" x14ac:dyDescent="0.25">
      <c r="A73">
        <v>76</v>
      </c>
      <c r="B73">
        <v>5.3779631492542005E-4</v>
      </c>
      <c r="C73"/>
    </row>
    <row r="74" spans="1:3" x14ac:dyDescent="0.25">
      <c r="A74">
        <v>77</v>
      </c>
      <c r="B74">
        <v>5.3668920507270797E-4</v>
      </c>
      <c r="C74"/>
    </row>
    <row r="75" spans="1:3" x14ac:dyDescent="0.25">
      <c r="A75">
        <v>78</v>
      </c>
      <c r="B75">
        <v>5.3623057942086205E-4</v>
      </c>
      <c r="C75"/>
    </row>
    <row r="76" spans="1:3" x14ac:dyDescent="0.25">
      <c r="A76">
        <v>79</v>
      </c>
      <c r="B76">
        <v>5.3529988774109899E-4</v>
      </c>
      <c r="C76"/>
    </row>
    <row r="77" spans="1:3" x14ac:dyDescent="0.25">
      <c r="A77">
        <v>80</v>
      </c>
      <c r="B77">
        <v>5.3332874990378199E-4</v>
      </c>
      <c r="C77"/>
    </row>
    <row r="78" spans="1:3" x14ac:dyDescent="0.25">
      <c r="A78">
        <v>81</v>
      </c>
      <c r="B78">
        <v>5.3262935009344399E-4</v>
      </c>
      <c r="C78"/>
    </row>
    <row r="79" spans="1:3" x14ac:dyDescent="0.25">
      <c r="A79">
        <v>82</v>
      </c>
      <c r="B79">
        <v>5.3250393442615899E-4</v>
      </c>
      <c r="C79"/>
    </row>
    <row r="80" spans="1:3" x14ac:dyDescent="0.25">
      <c r="A80">
        <v>83</v>
      </c>
      <c r="B80">
        <v>5.3185079736668597E-4</v>
      </c>
      <c r="C80"/>
    </row>
    <row r="81" spans="1:3" x14ac:dyDescent="0.25">
      <c r="A81">
        <v>84</v>
      </c>
      <c r="B81">
        <v>5.3108924775832796E-4</v>
      </c>
      <c r="C81"/>
    </row>
    <row r="82" spans="1:3" x14ac:dyDescent="0.25">
      <c r="A82">
        <v>85</v>
      </c>
      <c r="B82">
        <v>5.3053950545227998E-4</v>
      </c>
      <c r="C82"/>
    </row>
    <row r="83" spans="1:3" x14ac:dyDescent="0.25">
      <c r="A83">
        <v>86</v>
      </c>
      <c r="B83">
        <v>5.2965663986231405E-4</v>
      </c>
      <c r="C83"/>
    </row>
    <row r="84" spans="1:3" x14ac:dyDescent="0.25">
      <c r="A84">
        <v>87</v>
      </c>
      <c r="B84">
        <v>5.3102532148892496E-4</v>
      </c>
      <c r="C84"/>
    </row>
    <row r="85" spans="1:3" x14ac:dyDescent="0.25">
      <c r="A85">
        <v>88</v>
      </c>
      <c r="B85">
        <v>5.3029663259892505E-4</v>
      </c>
      <c r="C85"/>
    </row>
    <row r="86" spans="1:3" x14ac:dyDescent="0.25">
      <c r="A86">
        <v>89</v>
      </c>
      <c r="B86">
        <v>5.2959435878277496E-4</v>
      </c>
      <c r="C86"/>
    </row>
    <row r="87" spans="1:3" x14ac:dyDescent="0.25">
      <c r="A87">
        <v>90</v>
      </c>
      <c r="B87">
        <v>5.2909625244550998E-4</v>
      </c>
      <c r="C87"/>
    </row>
    <row r="88" spans="1:3" x14ac:dyDescent="0.25">
      <c r="A88">
        <v>91</v>
      </c>
      <c r="B88">
        <v>5.2808167250302496E-4</v>
      </c>
      <c r="C88"/>
    </row>
    <row r="89" spans="1:3" x14ac:dyDescent="0.25">
      <c r="A89">
        <v>92</v>
      </c>
      <c r="B89">
        <v>5.2767532937991399E-4</v>
      </c>
      <c r="C89"/>
    </row>
    <row r="90" spans="1:3" x14ac:dyDescent="0.25">
      <c r="A90">
        <v>93</v>
      </c>
      <c r="B90">
        <v>5.2713560357703501E-4</v>
      </c>
      <c r="C90"/>
    </row>
    <row r="91" spans="1:3" x14ac:dyDescent="0.25">
      <c r="A91">
        <v>94</v>
      </c>
      <c r="B91">
        <v>5.2679101710591605E-4</v>
      </c>
      <c r="C91"/>
    </row>
    <row r="92" spans="1:3" x14ac:dyDescent="0.25">
      <c r="A92">
        <v>95</v>
      </c>
      <c r="B92">
        <v>5.2618681433154295E-4</v>
      </c>
      <c r="C92"/>
    </row>
    <row r="93" spans="1:3" x14ac:dyDescent="0.25">
      <c r="A93">
        <v>96</v>
      </c>
      <c r="B93">
        <v>5.2549830058816103E-4</v>
      </c>
      <c r="C93"/>
    </row>
    <row r="94" spans="1:3" x14ac:dyDescent="0.25">
      <c r="A94">
        <v>97</v>
      </c>
      <c r="B94">
        <v>5.2493651372281401E-4</v>
      </c>
      <c r="C94"/>
    </row>
    <row r="95" spans="1:3" x14ac:dyDescent="0.25">
      <c r="A95">
        <v>98</v>
      </c>
      <c r="B95">
        <v>5.2402938442391096E-4</v>
      </c>
      <c r="C95"/>
    </row>
    <row r="96" spans="1:3" x14ac:dyDescent="0.25">
      <c r="A96">
        <v>99</v>
      </c>
      <c r="B96">
        <v>5.2413366580511295E-4</v>
      </c>
      <c r="C96"/>
    </row>
    <row r="97" spans="1:3" x14ac:dyDescent="0.25">
      <c r="A97">
        <v>100</v>
      </c>
      <c r="B97">
        <v>5.2367056977411001E-4</v>
      </c>
      <c r="C97"/>
    </row>
    <row r="98" spans="1:3" x14ac:dyDescent="0.25">
      <c r="A98">
        <v>101</v>
      </c>
      <c r="B98">
        <v>5.2065834245763204E-4</v>
      </c>
      <c r="C98"/>
    </row>
    <row r="99" spans="1:3" x14ac:dyDescent="0.25">
      <c r="A99">
        <v>102</v>
      </c>
      <c r="B99">
        <v>5.2011507607607201E-4</v>
      </c>
      <c r="C99"/>
    </row>
    <row r="100" spans="1:3" x14ac:dyDescent="0.25">
      <c r="A100">
        <v>112</v>
      </c>
      <c r="B100">
        <v>5.1387006607791098E-4</v>
      </c>
      <c r="C100"/>
    </row>
    <row r="101" spans="1:3" x14ac:dyDescent="0.25">
      <c r="A101">
        <v>122</v>
      </c>
      <c r="B101">
        <v>5.0712067968739698E-4</v>
      </c>
      <c r="C101"/>
    </row>
    <row r="102" spans="1:3" x14ac:dyDescent="0.25">
      <c r="A102">
        <v>132</v>
      </c>
      <c r="B102">
        <v>4.9827947423330997E-4</v>
      </c>
      <c r="C102"/>
    </row>
    <row r="103" spans="1:3" x14ac:dyDescent="0.25">
      <c r="A103">
        <v>142</v>
      </c>
      <c r="B103">
        <v>4.9644924566700404E-4</v>
      </c>
      <c r="C103"/>
    </row>
    <row r="104" spans="1:3" x14ac:dyDescent="0.25">
      <c r="A104">
        <v>152</v>
      </c>
      <c r="B104">
        <v>4.9073055934445301E-4</v>
      </c>
      <c r="C104"/>
    </row>
    <row r="105" spans="1:3" x14ac:dyDescent="0.25">
      <c r="A105">
        <v>162</v>
      </c>
      <c r="B105">
        <v>4.84685106814527E-4</v>
      </c>
      <c r="C105"/>
    </row>
    <row r="106" spans="1:3" x14ac:dyDescent="0.25">
      <c r="A106">
        <v>172</v>
      </c>
      <c r="B106">
        <v>4.7996258684970399E-4</v>
      </c>
      <c r="C106"/>
    </row>
    <row r="107" spans="1:3" x14ac:dyDescent="0.25">
      <c r="A107">
        <v>182</v>
      </c>
      <c r="B107">
        <v>4.7414547624345503E-4</v>
      </c>
      <c r="C107"/>
    </row>
    <row r="108" spans="1:3" x14ac:dyDescent="0.25">
      <c r="A108">
        <v>192</v>
      </c>
      <c r="B108">
        <v>4.6858754745062999E-4</v>
      </c>
      <c r="C108"/>
    </row>
    <row r="109" spans="1:3" x14ac:dyDescent="0.25">
      <c r="A109">
        <v>202</v>
      </c>
      <c r="B109">
        <v>4.6270562667343E-4</v>
      </c>
      <c r="C109"/>
    </row>
    <row r="110" spans="1:3" x14ac:dyDescent="0.25">
      <c r="A110">
        <v>212</v>
      </c>
      <c r="B110">
        <v>4.5693355059812099E-4</v>
      </c>
      <c r="C110"/>
    </row>
    <row r="111" spans="1:3" x14ac:dyDescent="0.25">
      <c r="A111">
        <v>222</v>
      </c>
      <c r="B111">
        <v>4.5029780182117098E-4</v>
      </c>
      <c r="C111"/>
    </row>
    <row r="112" spans="1:3" x14ac:dyDescent="0.25">
      <c r="A112">
        <v>232</v>
      </c>
      <c r="B112">
        <v>4.45320332176347E-4</v>
      </c>
      <c r="C112"/>
    </row>
    <row r="113" spans="1:3" x14ac:dyDescent="0.25">
      <c r="A113">
        <v>242</v>
      </c>
      <c r="B113">
        <v>4.39134683496847E-4</v>
      </c>
      <c r="C113"/>
    </row>
    <row r="114" spans="1:3" x14ac:dyDescent="0.25">
      <c r="A114">
        <v>252</v>
      </c>
      <c r="B114">
        <v>4.3397314417080099E-4</v>
      </c>
      <c r="C114"/>
    </row>
    <row r="115" spans="1:3" x14ac:dyDescent="0.25">
      <c r="A115">
        <v>262</v>
      </c>
      <c r="B115">
        <v>4.2865132160966398E-4</v>
      </c>
      <c r="C115"/>
    </row>
    <row r="116" spans="1:3" x14ac:dyDescent="0.25">
      <c r="A116">
        <v>272</v>
      </c>
      <c r="B116">
        <v>4.22989701047418E-4</v>
      </c>
      <c r="C116"/>
    </row>
    <row r="117" spans="1:3" x14ac:dyDescent="0.25">
      <c r="A117">
        <v>282</v>
      </c>
      <c r="B117">
        <v>4.1815521431147397E-4</v>
      </c>
      <c r="C117"/>
    </row>
    <row r="118" spans="1:3" x14ac:dyDescent="0.25">
      <c r="A118">
        <v>292</v>
      </c>
      <c r="B118">
        <v>4.1246306393832898E-4</v>
      </c>
      <c r="C118"/>
    </row>
    <row r="119" spans="1:3" x14ac:dyDescent="0.25">
      <c r="A119">
        <v>302</v>
      </c>
      <c r="B119">
        <v>4.06965705401159E-4</v>
      </c>
      <c r="C119"/>
    </row>
    <row r="120" spans="1:3" x14ac:dyDescent="0.25">
      <c r="A120">
        <v>312</v>
      </c>
      <c r="B120">
        <v>4.0194789540267702E-4</v>
      </c>
      <c r="C120"/>
    </row>
    <row r="121" spans="1:3" x14ac:dyDescent="0.25">
      <c r="A121">
        <v>322</v>
      </c>
      <c r="B121">
        <v>3.9695454546715997E-4</v>
      </c>
      <c r="C121"/>
    </row>
    <row r="122" spans="1:3" x14ac:dyDescent="0.25">
      <c r="A122">
        <v>332</v>
      </c>
      <c r="B122">
        <v>3.9125935875498701E-4</v>
      </c>
      <c r="C122"/>
    </row>
    <row r="123" spans="1:3" x14ac:dyDescent="0.25">
      <c r="A123">
        <v>342</v>
      </c>
      <c r="B123">
        <v>3.8649774224258101E-4</v>
      </c>
      <c r="C123"/>
    </row>
    <row r="124" spans="1:3" x14ac:dyDescent="0.25">
      <c r="A124">
        <v>352</v>
      </c>
      <c r="B124">
        <v>3.8119901109028497E-4</v>
      </c>
      <c r="C124"/>
    </row>
    <row r="125" spans="1:3" x14ac:dyDescent="0.25">
      <c r="A125">
        <v>362</v>
      </c>
      <c r="B125">
        <v>3.7658106608490102E-4</v>
      </c>
      <c r="C125"/>
    </row>
    <row r="126" spans="1:3" x14ac:dyDescent="0.25">
      <c r="A126">
        <v>372</v>
      </c>
      <c r="B126">
        <v>3.71983605069622E-4</v>
      </c>
      <c r="C126"/>
    </row>
    <row r="127" spans="1:3" x14ac:dyDescent="0.25">
      <c r="A127">
        <v>382</v>
      </c>
      <c r="B127">
        <v>3.6701726385481303E-4</v>
      </c>
      <c r="C127"/>
    </row>
    <row r="128" spans="1:3" x14ac:dyDescent="0.25">
      <c r="A128">
        <v>392</v>
      </c>
      <c r="B128">
        <v>3.6126930843893103E-4</v>
      </c>
      <c r="C128"/>
    </row>
    <row r="129" spans="1:3" x14ac:dyDescent="0.25">
      <c r="A129">
        <v>402</v>
      </c>
      <c r="B129">
        <v>3.5702991607601E-4</v>
      </c>
      <c r="C129"/>
    </row>
    <row r="130" spans="1:3" x14ac:dyDescent="0.25">
      <c r="A130">
        <v>412</v>
      </c>
      <c r="B130">
        <v>3.5167925476005401E-4</v>
      </c>
      <c r="C130"/>
    </row>
    <row r="131" spans="1:3" x14ac:dyDescent="0.25">
      <c r="A131">
        <v>422</v>
      </c>
      <c r="B131">
        <v>3.47300265790706E-4</v>
      </c>
      <c r="C131"/>
    </row>
    <row r="132" spans="1:3" x14ac:dyDescent="0.25">
      <c r="A132">
        <v>432</v>
      </c>
      <c r="B132">
        <v>3.4239512640732802E-4</v>
      </c>
      <c r="C132"/>
    </row>
    <row r="133" spans="1:3" x14ac:dyDescent="0.25">
      <c r="A133">
        <v>442</v>
      </c>
      <c r="B133">
        <v>3.3770170005947402E-4</v>
      </c>
      <c r="C133"/>
    </row>
    <row r="134" spans="1:3" x14ac:dyDescent="0.25">
      <c r="A134">
        <v>452</v>
      </c>
      <c r="B134">
        <v>3.3336399584120598E-4</v>
      </c>
      <c r="C134"/>
    </row>
    <row r="135" spans="1:3" x14ac:dyDescent="0.25">
      <c r="A135">
        <v>462</v>
      </c>
      <c r="B135">
        <v>3.28013397507314E-4</v>
      </c>
      <c r="C135"/>
    </row>
    <row r="136" spans="1:3" x14ac:dyDescent="0.25">
      <c r="A136">
        <v>472</v>
      </c>
      <c r="B136">
        <v>3.2373763066164101E-4</v>
      </c>
      <c r="C136"/>
    </row>
    <row r="137" spans="1:3" x14ac:dyDescent="0.25">
      <c r="A137">
        <v>482</v>
      </c>
      <c r="B137">
        <v>3.1930080293663901E-4</v>
      </c>
      <c r="C137"/>
    </row>
    <row r="138" spans="1:3" x14ac:dyDescent="0.25">
      <c r="A138">
        <v>492</v>
      </c>
      <c r="B138">
        <v>3.1488482799548199E-4</v>
      </c>
      <c r="C138"/>
    </row>
    <row r="139" spans="1:3" x14ac:dyDescent="0.25">
      <c r="A139">
        <v>502</v>
      </c>
      <c r="B139">
        <v>3.10513451000671E-4</v>
      </c>
      <c r="C139"/>
    </row>
    <row r="140" spans="1:3" x14ac:dyDescent="0.25">
      <c r="A140">
        <v>602</v>
      </c>
      <c r="B140">
        <v>2.6671901796537897E-4</v>
      </c>
      <c r="C140"/>
    </row>
    <row r="141" spans="1:3" x14ac:dyDescent="0.25">
      <c r="A141">
        <v>702</v>
      </c>
      <c r="B141">
        <v>2.29271432894868E-4</v>
      </c>
      <c r="C141"/>
    </row>
    <row r="142" spans="1:3" x14ac:dyDescent="0.25">
      <c r="A142">
        <v>802</v>
      </c>
      <c r="B142">
        <v>1.94506847518834E-4</v>
      </c>
      <c r="C142"/>
    </row>
    <row r="143" spans="1:3" x14ac:dyDescent="0.25">
      <c r="A143">
        <v>902</v>
      </c>
      <c r="B143">
        <v>1.6375249701341301E-4</v>
      </c>
      <c r="C143"/>
    </row>
    <row r="144" spans="1:3" x14ac:dyDescent="0.25">
      <c r="A144">
        <v>1002</v>
      </c>
      <c r="B144">
        <v>1.3672695418339399E-4</v>
      </c>
      <c r="C144"/>
    </row>
    <row r="145" spans="1:3" x14ac:dyDescent="0.25">
      <c r="A145">
        <v>1102</v>
      </c>
      <c r="B145">
        <v>1.13605344785701E-4</v>
      </c>
      <c r="C145"/>
    </row>
    <row r="146" spans="1:3" x14ac:dyDescent="0.25">
      <c r="A146">
        <v>1202</v>
      </c>
      <c r="B146" s="1">
        <v>9.3915750352155096E-5</v>
      </c>
      <c r="C146"/>
    </row>
    <row r="147" spans="1:3" x14ac:dyDescent="0.25">
      <c r="A147">
        <v>1302</v>
      </c>
      <c r="B147" s="1">
        <v>7.7454481922590898E-5</v>
      </c>
      <c r="C147"/>
    </row>
    <row r="148" spans="1:3" x14ac:dyDescent="0.25">
      <c r="A148">
        <v>1402</v>
      </c>
      <c r="B148" s="1">
        <v>6.3659884868127998E-5</v>
      </c>
      <c r="C148"/>
    </row>
    <row r="149" spans="1:3" x14ac:dyDescent="0.25">
      <c r="A149">
        <v>1502</v>
      </c>
      <c r="B149" s="1">
        <v>5.24868267070737E-5</v>
      </c>
      <c r="C149"/>
    </row>
    <row r="150" spans="1:3" x14ac:dyDescent="0.25">
      <c r="A150">
        <v>1602</v>
      </c>
      <c r="B150" s="1">
        <v>4.3215964757765699E-5</v>
      </c>
      <c r="C150"/>
    </row>
    <row r="151" spans="1:3" x14ac:dyDescent="0.25">
      <c r="A151">
        <v>1702</v>
      </c>
      <c r="B151" s="1">
        <v>3.6210814436379198E-5</v>
      </c>
      <c r="C151"/>
    </row>
    <row r="152" spans="1:3" x14ac:dyDescent="0.25">
      <c r="A152">
        <v>1802</v>
      </c>
      <c r="B152" s="1">
        <v>3.06433879538035E-5</v>
      </c>
      <c r="C152"/>
    </row>
    <row r="153" spans="1:3" x14ac:dyDescent="0.25">
      <c r="A153">
        <v>1902</v>
      </c>
      <c r="B153" s="1">
        <v>2.6075394292296499E-5</v>
      </c>
      <c r="C153"/>
    </row>
    <row r="154" spans="1:3" x14ac:dyDescent="0.25">
      <c r="A154">
        <v>2002</v>
      </c>
      <c r="B154" s="1">
        <v>2.2667110413731199E-5</v>
      </c>
      <c r="C154"/>
    </row>
    <row r="155" spans="1:3" x14ac:dyDescent="0.25">
      <c r="A155">
        <v>2102</v>
      </c>
      <c r="B155" s="1">
        <v>1.9775337636330301E-5</v>
      </c>
      <c r="C155"/>
    </row>
    <row r="156" spans="1:3" x14ac:dyDescent="0.25">
      <c r="A156">
        <v>2202</v>
      </c>
      <c r="B156" s="1">
        <v>1.7590508255583199E-5</v>
      </c>
      <c r="C156"/>
    </row>
    <row r="157" spans="1:3" x14ac:dyDescent="0.25">
      <c r="A157">
        <v>2302</v>
      </c>
      <c r="B157" s="1">
        <v>1.565848043228E-5</v>
      </c>
      <c r="C157"/>
    </row>
    <row r="158" spans="1:3" x14ac:dyDescent="0.25">
      <c r="A158">
        <v>2402</v>
      </c>
      <c r="B158" s="1">
        <v>1.39700336682189E-5</v>
      </c>
      <c r="C158"/>
    </row>
    <row r="159" spans="1:3" x14ac:dyDescent="0.25">
      <c r="A159">
        <v>2502</v>
      </c>
      <c r="B159" s="1">
        <v>1.2594225964202001E-5</v>
      </c>
      <c r="C159"/>
    </row>
    <row r="160" spans="1:3" x14ac:dyDescent="0.25">
      <c r="A160">
        <v>2602</v>
      </c>
      <c r="B160" s="1">
        <v>1.1478109616002299E-5</v>
      </c>
      <c r="C160"/>
    </row>
    <row r="161" spans="1:3" x14ac:dyDescent="0.25">
      <c r="A161">
        <v>2702</v>
      </c>
      <c r="B161" s="1">
        <v>1.04118172281955E-5</v>
      </c>
      <c r="C161"/>
    </row>
    <row r="162" spans="1:3" x14ac:dyDescent="0.25">
      <c r="A162">
        <v>2802</v>
      </c>
      <c r="B162" s="1">
        <v>9.4735238667283602E-6</v>
      </c>
      <c r="C162"/>
    </row>
    <row r="163" spans="1:3" x14ac:dyDescent="0.25">
      <c r="A163">
        <v>2902</v>
      </c>
      <c r="B163" s="1">
        <v>8.5943698452901994E-6</v>
      </c>
      <c r="C163"/>
    </row>
    <row r="164" spans="1:3" x14ac:dyDescent="0.25">
      <c r="A164">
        <v>3002</v>
      </c>
      <c r="B164" s="1">
        <v>7.7478767554368306E-6</v>
      </c>
      <c r="C16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98188-4344-4C0B-BBFC-0F719607A074}">
  <dimension ref="A1:R49"/>
  <sheetViews>
    <sheetView topLeftCell="A31" workbookViewId="0">
      <selection activeCell="H55" sqref="H55:H58"/>
    </sheetView>
  </sheetViews>
  <sheetFormatPr defaultRowHeight="15" x14ac:dyDescent="0.25"/>
  <cols>
    <col min="1" max="1" width="12" bestFit="1" customWidth="1"/>
    <col min="2" max="2" width="9.140625" customWidth="1"/>
    <col min="4" max="4" width="12" bestFit="1" customWidth="1"/>
    <col min="6" max="10" width="12" bestFit="1" customWidth="1"/>
    <col min="11" max="11" width="9.140625" customWidth="1"/>
    <col min="13" max="13" width="12" bestFit="1" customWidth="1"/>
    <col min="14" max="14" width="11" bestFit="1" customWidth="1"/>
    <col min="16" max="16" width="12" bestFit="1" customWidth="1"/>
    <col min="19" max="20" width="12" bestFit="1" customWidth="1"/>
  </cols>
  <sheetData>
    <row r="1" spans="1:18" x14ac:dyDescent="0.25">
      <c r="A1" t="s">
        <v>45</v>
      </c>
    </row>
    <row r="3" spans="1:18" x14ac:dyDescent="0.25">
      <c r="A3" t="s">
        <v>48</v>
      </c>
      <c r="D3" t="s">
        <v>49</v>
      </c>
    </row>
    <row r="4" spans="1:18" x14ac:dyDescent="0.25">
      <c r="A4" s="3" t="s">
        <v>68</v>
      </c>
      <c r="D4" s="3" t="s">
        <v>62</v>
      </c>
    </row>
    <row r="6" spans="1:18" x14ac:dyDescent="0.25">
      <c r="A6">
        <f>0.00043048^2</f>
        <v>1.8531303040000002E-7</v>
      </c>
      <c r="D6">
        <f>0.00043135^2</f>
        <v>1.8606282250000001E-7</v>
      </c>
    </row>
    <row r="7" spans="1:18" x14ac:dyDescent="0.25">
      <c r="A7">
        <f>0.0031889^2</f>
        <v>1.016908321E-5</v>
      </c>
      <c r="B7">
        <f>ATAN2(-0.00043048,-0.0031889)</f>
        <v>-1.7049784332807318</v>
      </c>
      <c r="D7">
        <f>0.0031474^2</f>
        <v>9.9061267599999996E-6</v>
      </c>
      <c r="E7">
        <f>ATAN2(-0.00043135,-0.0031474)</f>
        <v>-1.7069974475574217</v>
      </c>
    </row>
    <row r="8" spans="1:18" x14ac:dyDescent="0.25">
      <c r="A8">
        <f>SQRT(A7+A6)</f>
        <v>3.2178247684421847E-3</v>
      </c>
      <c r="B8">
        <f>EXP(B7)</f>
        <v>0.18177630645166445</v>
      </c>
      <c r="D8">
        <f>SQRT(D7+D6)</f>
        <v>3.1768206720713715E-3</v>
      </c>
      <c r="E8">
        <f>EXP(E7)</f>
        <v>0.18140966774271622</v>
      </c>
    </row>
    <row r="9" spans="1:18" x14ac:dyDescent="0.25">
      <c r="B9" s="1">
        <f>B8*A8</f>
        <v>5.8492430121610275E-4</v>
      </c>
      <c r="E9" s="1">
        <f>E8*D8</f>
        <v>5.7630598259865993E-4</v>
      </c>
    </row>
    <row r="11" spans="1:18" x14ac:dyDescent="0.25">
      <c r="A11" t="s">
        <v>63</v>
      </c>
      <c r="D11" t="s">
        <v>61</v>
      </c>
      <c r="E11" s="1"/>
      <c r="K11" s="1"/>
      <c r="M11" s="1"/>
      <c r="O11" t="s">
        <v>52</v>
      </c>
      <c r="P11" t="s">
        <v>53</v>
      </c>
      <c r="Q11" t="s">
        <v>67</v>
      </c>
      <c r="R11" t="s">
        <v>67</v>
      </c>
    </row>
    <row r="12" spans="1:18" x14ac:dyDescent="0.25">
      <c r="A12" t="s">
        <v>66</v>
      </c>
      <c r="D12" t="s">
        <v>60</v>
      </c>
      <c r="M12" s="1"/>
      <c r="N12">
        <v>10</v>
      </c>
      <c r="O12">
        <f>B49</f>
        <v>5.8754764319286323E-4</v>
      </c>
      <c r="P12">
        <f>E49</f>
        <v>5.8109439657202369E-4</v>
      </c>
      <c r="Q12">
        <f>A48</f>
        <v>3.2041838092718715E-3</v>
      </c>
      <c r="R12">
        <f>D48</f>
        <v>3.172125823733983E-3</v>
      </c>
    </row>
    <row r="13" spans="1:18" x14ac:dyDescent="0.25">
      <c r="N13">
        <v>25</v>
      </c>
      <c r="O13">
        <f>B41</f>
        <v>5.8753492493743233E-4</v>
      </c>
      <c r="P13">
        <f>E41</f>
        <v>5.8117462031240523E-4</v>
      </c>
      <c r="Q13">
        <f>A40</f>
        <v>3.2041938206669083E-3</v>
      </c>
      <c r="R13">
        <f>D40</f>
        <v>3.1713694167662021E-3</v>
      </c>
    </row>
    <row r="14" spans="1:18" x14ac:dyDescent="0.25">
      <c r="A14">
        <f>0.00040598^2</f>
        <v>1.648197604E-7</v>
      </c>
      <c r="D14">
        <f>0.00041328^2</f>
        <v>1.7080035839999998E-7</v>
      </c>
      <c r="N14">
        <v>50</v>
      </c>
      <c r="O14">
        <f>B33</f>
        <v>5.8774109760394101E-4</v>
      </c>
      <c r="P14">
        <f>E33</f>
        <v>5.8143268930993595E-4</v>
      </c>
      <c r="Q14" s="1">
        <f>A32</f>
        <v>3.2076081818700987E-3</v>
      </c>
      <c r="R14">
        <f>D32</f>
        <v>3.1717423947098858E-3</v>
      </c>
    </row>
    <row r="15" spans="1:18" x14ac:dyDescent="0.25">
      <c r="A15">
        <f>0.0031844^2</f>
        <v>1.0140403360000001E-5</v>
      </c>
      <c r="B15">
        <f>ATAN2(-0.00040598,-0.0031844)</f>
        <v>-1.6976025184255239</v>
      </c>
      <c r="D15">
        <f>0.0031426^2</f>
        <v>9.8759347600000013E-6</v>
      </c>
      <c r="E15">
        <f>ATAN2(-0.00041328,-0.0031426)</f>
        <v>-1.7015549079023007</v>
      </c>
      <c r="N15">
        <v>65</v>
      </c>
      <c r="O15">
        <f>B25</f>
        <v>5.8738561503331513E-4</v>
      </c>
      <c r="P15">
        <f>E25</f>
        <v>5.7916591668723304E-4</v>
      </c>
      <c r="Q15">
        <f>A24</f>
        <v>3.2059416087764294E-3</v>
      </c>
      <c r="R15">
        <f>D24</f>
        <v>3.1711369147515533E-3</v>
      </c>
    </row>
    <row r="16" spans="1:18" x14ac:dyDescent="0.25">
      <c r="A16">
        <f>SQRT(A15+A14)</f>
        <v>3.2101749361055079E-3</v>
      </c>
      <c r="B16">
        <f>EXP(B15)</f>
        <v>0.18312202988039122</v>
      </c>
      <c r="D16">
        <f>SQRT(D15+D14)</f>
        <v>3.1696585176324596E-3</v>
      </c>
      <c r="E16">
        <f>EXP(E15)</f>
        <v>0.18239968872364962</v>
      </c>
      <c r="N16">
        <v>75</v>
      </c>
      <c r="O16">
        <f>B17</f>
        <v>5.8785375057079578E-4</v>
      </c>
      <c r="P16">
        <f>E17</f>
        <v>5.7814472697642529E-4</v>
      </c>
      <c r="Q16" s="1">
        <f>A16</f>
        <v>3.2101749361055079E-3</v>
      </c>
      <c r="R16">
        <f>D16</f>
        <v>3.1696585176324596E-3</v>
      </c>
    </row>
    <row r="17" spans="1:18" x14ac:dyDescent="0.25">
      <c r="B17">
        <f>B16*A16</f>
        <v>5.8785375057079578E-4</v>
      </c>
      <c r="E17">
        <f>E16*D16</f>
        <v>5.7814472697642529E-4</v>
      </c>
      <c r="N17">
        <v>100</v>
      </c>
      <c r="O17" s="1">
        <f>B9</f>
        <v>5.8492430121610275E-4</v>
      </c>
      <c r="P17" s="1">
        <f>E9</f>
        <v>5.7630598259865993E-4</v>
      </c>
      <c r="Q17" s="1">
        <f>A8</f>
        <v>3.2178247684421847E-3</v>
      </c>
      <c r="R17">
        <f>D8</f>
        <v>3.1768206720713715E-3</v>
      </c>
    </row>
    <row r="19" spans="1:18" x14ac:dyDescent="0.25">
      <c r="A19" t="s">
        <v>72</v>
      </c>
      <c r="D19" t="s">
        <v>70</v>
      </c>
    </row>
    <row r="20" spans="1:18" x14ac:dyDescent="0.25">
      <c r="A20" t="s">
        <v>71</v>
      </c>
      <c r="D20" t="s">
        <v>69</v>
      </c>
    </row>
    <row r="22" spans="1:18" x14ac:dyDescent="0.25">
      <c r="A22">
        <f>0.000403878^2</f>
        <v>1.63117438884E-7</v>
      </c>
      <c r="D22">
        <f>0.00040939^2</f>
        <v>1.6760017209999998E-7</v>
      </c>
    </row>
    <row r="23" spans="1:18" x14ac:dyDescent="0.25">
      <c r="A23">
        <f>0.0031804^2</f>
        <v>1.011494416E-5</v>
      </c>
      <c r="B23">
        <f>ATAN2(-0.00040378,-0.0031804)</f>
        <v>-1.6970795906492488</v>
      </c>
      <c r="D23">
        <f>0.0031446^2</f>
        <v>9.8885091600000005E-6</v>
      </c>
      <c r="E23">
        <f>ATAN2(-0.00040939,-0.0031446)</f>
        <v>-1.700256456917568</v>
      </c>
    </row>
    <row r="24" spans="1:18" x14ac:dyDescent="0.25">
      <c r="A24">
        <f>SQRT(A23+A22)</f>
        <v>3.2059416087764294E-3</v>
      </c>
      <c r="B24">
        <f>EXP(B23)</f>
        <v>0.18321781451830468</v>
      </c>
      <c r="D24">
        <f>SQRT(D23+D22)</f>
        <v>3.1711369147515533E-3</v>
      </c>
      <c r="E24">
        <f>EXP(E23)</f>
        <v>0.18263667960631355</v>
      </c>
    </row>
    <row r="25" spans="1:18" x14ac:dyDescent="0.25">
      <c r="B25">
        <f>B24*A24</f>
        <v>5.8738561503331513E-4</v>
      </c>
      <c r="E25">
        <f>E24*D24</f>
        <v>5.7916591668723304E-4</v>
      </c>
    </row>
    <row r="27" spans="1:18" x14ac:dyDescent="0.25">
      <c r="A27" t="s">
        <v>46</v>
      </c>
      <c r="D27" t="s">
        <v>50</v>
      </c>
    </row>
    <row r="28" spans="1:18" x14ac:dyDescent="0.25">
      <c r="A28" t="s">
        <v>65</v>
      </c>
      <c r="D28" t="s">
        <v>59</v>
      </c>
    </row>
    <row r="30" spans="1:18" x14ac:dyDescent="0.25">
      <c r="A30">
        <f>0.00040372^2</f>
        <v>1.6298983839999998E-7</v>
      </c>
      <c r="D30">
        <f>0.00039778^2</f>
        <v>1.5822892839999999E-7</v>
      </c>
    </row>
    <row r="31" spans="1:18" x14ac:dyDescent="0.25">
      <c r="A31">
        <f>-0.0031821^2</f>
        <v>1.0125760410000001E-5</v>
      </c>
      <c r="B31">
        <f>ATAN2(-0.00040372,-0.0031821)</f>
        <v>-1.696994282969684</v>
      </c>
      <c r="D31">
        <f>0.0031467^2</f>
        <v>9.9017208900000014E-6</v>
      </c>
      <c r="E31">
        <f>ATAN2(-0.00039778,-0.0031467)</f>
        <v>-1.696541155488916</v>
      </c>
    </row>
    <row r="32" spans="1:18" x14ac:dyDescent="0.25">
      <c r="A32">
        <f>SQRT(A31+A30)</f>
        <v>3.2076081818700987E-3</v>
      </c>
      <c r="B32">
        <f>EXP(B31)</f>
        <v>0.18323344507160982</v>
      </c>
      <c r="D32">
        <f>SQRT(D31+D30)</f>
        <v>3.1717423947098858E-3</v>
      </c>
      <c r="E32">
        <f>EXP(E31)</f>
        <v>0.18331649199496816</v>
      </c>
    </row>
    <row r="33" spans="1:5" x14ac:dyDescent="0.25">
      <c r="B33">
        <f>B32*A32</f>
        <v>5.8774109760394101E-4</v>
      </c>
      <c r="E33">
        <f>E32*D32</f>
        <v>5.8143268930993595E-4</v>
      </c>
    </row>
    <row r="35" spans="1:5" x14ac:dyDescent="0.25">
      <c r="A35" t="s">
        <v>51</v>
      </c>
      <c r="D35" t="s">
        <v>47</v>
      </c>
    </row>
    <row r="36" spans="1:5" x14ac:dyDescent="0.25">
      <c r="A36" t="s">
        <v>64</v>
      </c>
      <c r="D36" t="s">
        <v>58</v>
      </c>
    </row>
    <row r="38" spans="1:5" x14ac:dyDescent="0.25">
      <c r="A38">
        <f>0.00040102^2</f>
        <v>1.6081704039999997E-7</v>
      </c>
      <c r="D38">
        <f>0.00039876^2</f>
        <v>1.590095376E-7</v>
      </c>
    </row>
    <row r="39" spans="1:5" x14ac:dyDescent="0.25">
      <c r="A39">
        <f>0.003179^2</f>
        <v>1.0106041E-5</v>
      </c>
      <c r="B39">
        <f>ATAN2(-0.00040102,-0.003179)</f>
        <v>-1.6962801087468917</v>
      </c>
      <c r="D39">
        <f>0.0031462^2</f>
        <v>9.89857444E-6</v>
      </c>
      <c r="E39">
        <f>ATAN2(-0.00039876,-0.0031462)</f>
        <v>-1.6968675032524398</v>
      </c>
    </row>
    <row r="40" spans="1:5" x14ac:dyDescent="0.25">
      <c r="A40">
        <f>SQRT(A39+A38)</f>
        <v>3.2041938206669083E-3</v>
      </c>
      <c r="B40">
        <f>EXP(B39)</f>
        <v>0.18336435241459431</v>
      </c>
      <c r="D40">
        <f>SQRT(D39+D38)</f>
        <v>3.1713694167662021E-3</v>
      </c>
      <c r="E40">
        <f>EXP(E39)</f>
        <v>0.18325667682859234</v>
      </c>
    </row>
    <row r="41" spans="1:5" x14ac:dyDescent="0.25">
      <c r="B41">
        <f>B40*A40</f>
        <v>5.8753492493743233E-4</v>
      </c>
      <c r="E41">
        <f>E40*D40</f>
        <v>5.8117462031240523E-4</v>
      </c>
    </row>
    <row r="43" spans="1:5" x14ac:dyDescent="0.25">
      <c r="A43" t="s">
        <v>54</v>
      </c>
      <c r="D43" t="s">
        <v>57</v>
      </c>
    </row>
    <row r="44" spans="1:5" x14ac:dyDescent="0.25">
      <c r="A44" t="s">
        <v>55</v>
      </c>
      <c r="D44" t="s">
        <v>56</v>
      </c>
    </row>
    <row r="46" spans="1:5" x14ac:dyDescent="0.25">
      <c r="A46">
        <f>0.00040094^2</f>
        <v>1.6075288360000001E-7</v>
      </c>
      <c r="D46">
        <f>0.00040004^2</f>
        <v>1.6003200159999999E-7</v>
      </c>
    </row>
    <row r="47" spans="1:5" x14ac:dyDescent="0.25">
      <c r="A47">
        <f>0.003179^2</f>
        <v>1.0106041E-5</v>
      </c>
      <c r="B47">
        <f>ATAN2(-0.00040094,-0.003179)</f>
        <v>-1.6962553377026597</v>
      </c>
      <c r="D47">
        <f>0.0031468^2</f>
        <v>9.9023502399999993E-6</v>
      </c>
      <c r="E47">
        <f>ATAN2(-0.00040004,-0.0031468)</f>
        <v>-1.6972440327312621</v>
      </c>
    </row>
    <row r="48" spans="1:5" x14ac:dyDescent="0.25">
      <c r="A48">
        <f>SQRT(A47+A46)</f>
        <v>3.2041838092718715E-3</v>
      </c>
      <c r="B48">
        <f>EXP(B47)</f>
        <v>0.18336889459733563</v>
      </c>
      <c r="D48">
        <f>SQRT(D47+D46)</f>
        <v>3.172125823733983E-3</v>
      </c>
      <c r="E48">
        <f>EXP(E47)</f>
        <v>0.18318768827650223</v>
      </c>
    </row>
    <row r="49" spans="2:5" x14ac:dyDescent="0.25">
      <c r="B49">
        <f>B48*A48</f>
        <v>5.8754764319286323E-4</v>
      </c>
      <c r="E49">
        <f>E48*D48</f>
        <v>5.8109439657202369E-4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AF3FA-5869-4743-B44A-DAB0912EE419}">
  <dimension ref="A1:J103"/>
  <sheetViews>
    <sheetView workbookViewId="0">
      <selection activeCell="I13" sqref="I13"/>
    </sheetView>
  </sheetViews>
  <sheetFormatPr defaultRowHeight="15" x14ac:dyDescent="0.25"/>
  <cols>
    <col min="3" max="3" width="12" bestFit="1" customWidth="1"/>
    <col min="11" max="11" width="12" bestFit="1" customWidth="1"/>
    <col min="14" max="14" width="10" bestFit="1" customWidth="1"/>
  </cols>
  <sheetData>
    <row r="1" spans="1:10" x14ac:dyDescent="0.25">
      <c r="H1" t="s">
        <v>73</v>
      </c>
      <c r="I1">
        <v>100</v>
      </c>
    </row>
    <row r="2" spans="1:10" x14ac:dyDescent="0.25">
      <c r="C2" t="s">
        <v>76</v>
      </c>
      <c r="D2" t="s">
        <v>4</v>
      </c>
      <c r="E2" t="s">
        <v>5</v>
      </c>
      <c r="F2" t="s">
        <v>77</v>
      </c>
      <c r="G2" t="s">
        <v>78</v>
      </c>
      <c r="H2" t="s">
        <v>74</v>
      </c>
      <c r="I2">
        <f>2*PI()*0.1</f>
        <v>0.62831853071795862</v>
      </c>
    </row>
    <row r="3" spans="1:10" x14ac:dyDescent="0.25">
      <c r="A3">
        <f>(ROW()-3)/10</f>
        <v>0</v>
      </c>
      <c r="B3">
        <f>A/2*(1+COS(omega*A3))</f>
        <v>100</v>
      </c>
      <c r="C3">
        <f>1000*EXP(-B3/100)</f>
        <v>367.87944117144235</v>
      </c>
      <c r="D3">
        <f>SIN(-omega*n*A3)*C3</f>
        <v>0</v>
      </c>
      <c r="E3">
        <f>COS(-omega*n*A3)*C3</f>
        <v>367.87944117144235</v>
      </c>
      <c r="H3" t="s">
        <v>75</v>
      </c>
      <c r="I3">
        <v>0</v>
      </c>
    </row>
    <row r="4" spans="1:10" x14ac:dyDescent="0.25">
      <c r="A4">
        <f t="shared" ref="A4:A67" si="0">(ROW()-3)/10</f>
        <v>0.1</v>
      </c>
      <c r="B4">
        <f>A/2*(1+COS(omega*A4))</f>
        <v>99.901336421413575</v>
      </c>
      <c r="C4">
        <f t="shared" ref="C4:C67" si="1">1000*EXP(-B4/100)</f>
        <v>368.24258330804105</v>
      </c>
      <c r="D4">
        <f>SIN(-omega*n*A4)*C4</f>
        <v>0</v>
      </c>
      <c r="E4">
        <f>COS(-omega*n*A4)*C4</f>
        <v>368.24258330804105</v>
      </c>
      <c r="F4">
        <f>(A4-A3)*(D4-D3)</f>
        <v>0</v>
      </c>
      <c r="G4">
        <f>(A4-A3)*(E4-E3)</f>
        <v>3.6314213659869664E-2</v>
      </c>
    </row>
    <row r="5" spans="1:10" x14ac:dyDescent="0.25">
      <c r="A5">
        <f t="shared" si="0"/>
        <v>0.2</v>
      </c>
      <c r="B5">
        <f>A/2*(1+COS(omega*A5))</f>
        <v>99.605735065723906</v>
      </c>
      <c r="C5">
        <f t="shared" si="1"/>
        <v>369.3327238177838</v>
      </c>
      <c r="D5">
        <f>SIN(-omega*n*A5)*C5</f>
        <v>0</v>
      </c>
      <c r="E5">
        <f>COS(-omega*n*A5)*C5</f>
        <v>369.3327238177838</v>
      </c>
      <c r="F5">
        <f>(A5-A4)*(D5-D4)+F4</f>
        <v>0</v>
      </c>
      <c r="G5">
        <f>(A5-A4)*(E5-E4)+G4</f>
        <v>0.14532826463414494</v>
      </c>
    </row>
    <row r="6" spans="1:10" x14ac:dyDescent="0.25">
      <c r="A6">
        <f t="shared" si="0"/>
        <v>0.3</v>
      </c>
      <c r="B6">
        <f>A/2*(1+COS(omega*A6))</f>
        <v>99.114362536434442</v>
      </c>
      <c r="C6">
        <f t="shared" si="1"/>
        <v>371.15198938946156</v>
      </c>
      <c r="D6">
        <f>SIN(-omega*n*A6)*C6</f>
        <v>0</v>
      </c>
      <c r="E6">
        <f>COS(-omega*n*A6)*C6</f>
        <v>371.15198938946156</v>
      </c>
      <c r="F6">
        <f t="shared" ref="F6:F69" si="2">(A6-A5)*(D6-D5)+F5</f>
        <v>0</v>
      </c>
      <c r="G6">
        <f t="shared" ref="G6:G69" si="3">(A6-A5)*(E6-E5)+G5</f>
        <v>0.327254821801921</v>
      </c>
      <c r="J6" s="11"/>
    </row>
    <row r="7" spans="1:10" x14ac:dyDescent="0.25">
      <c r="A7">
        <f t="shared" si="0"/>
        <v>0.4</v>
      </c>
      <c r="B7">
        <f>A/2*(1+COS(omega*A7))</f>
        <v>98.429158056431561</v>
      </c>
      <c r="C7">
        <f t="shared" si="1"/>
        <v>373.70387227195147</v>
      </c>
      <c r="D7">
        <f>SIN(-omega*n*A7)*C7</f>
        <v>0</v>
      </c>
      <c r="E7">
        <f>COS(-omega*n*A7)*C7</f>
        <v>373.70387227195147</v>
      </c>
      <c r="F7">
        <f t="shared" si="2"/>
        <v>0</v>
      </c>
      <c r="G7">
        <f t="shared" si="3"/>
        <v>0.58244311005091176</v>
      </c>
    </row>
    <row r="8" spans="1:10" x14ac:dyDescent="0.25">
      <c r="A8">
        <f t="shared" si="0"/>
        <v>0.5</v>
      </c>
      <c r="B8">
        <f>A/2*(1+COS(omega*A8))</f>
        <v>97.552825814757682</v>
      </c>
      <c r="C8">
        <f t="shared" si="1"/>
        <v>376.9931512489386</v>
      </c>
      <c r="D8">
        <f>SIN(-omega*n*A8)*C8</f>
        <v>0</v>
      </c>
      <c r="E8">
        <f>COS(-omega*n*A8)*C8</f>
        <v>376.9931512489386</v>
      </c>
      <c r="F8">
        <f t="shared" si="2"/>
        <v>0</v>
      </c>
      <c r="G8">
        <f t="shared" si="3"/>
        <v>0.91137100774962509</v>
      </c>
    </row>
    <row r="9" spans="1:10" x14ac:dyDescent="0.25">
      <c r="A9">
        <f t="shared" si="0"/>
        <v>0.6</v>
      </c>
      <c r="B9">
        <f>A/2*(1+COS(omega*A9))</f>
        <v>96.488824294412566</v>
      </c>
      <c r="C9">
        <f t="shared" si="1"/>
        <v>381.02577967933769</v>
      </c>
      <c r="D9">
        <f>SIN(-omega*n*A9)*C9</f>
        <v>0</v>
      </c>
      <c r="E9">
        <f>COS(-omega*n*A9)*C9</f>
        <v>381.02577967933769</v>
      </c>
      <c r="F9">
        <f t="shared" si="2"/>
        <v>0</v>
      </c>
      <c r="G9">
        <f t="shared" si="3"/>
        <v>1.3146338507895337</v>
      </c>
    </row>
    <row r="10" spans="1:10" x14ac:dyDescent="0.25">
      <c r="A10">
        <f t="shared" si="0"/>
        <v>0.7</v>
      </c>
      <c r="B10">
        <f>A/2*(1+COS(omega*A10))</f>
        <v>95.241352623300983</v>
      </c>
      <c r="C10">
        <f t="shared" si="1"/>
        <v>385.80873934764168</v>
      </c>
      <c r="D10">
        <f>SIN(-omega*n*A10)*C10</f>
        <v>0</v>
      </c>
      <c r="E10">
        <f>COS(-omega*n*A10)*C10</f>
        <v>385.80873934764168</v>
      </c>
      <c r="F10">
        <f t="shared" si="2"/>
        <v>0</v>
      </c>
      <c r="G10">
        <f t="shared" si="3"/>
        <v>1.7929298176199324</v>
      </c>
    </row>
    <row r="11" spans="1:10" x14ac:dyDescent="0.25">
      <c r="A11">
        <f t="shared" si="0"/>
        <v>0.8</v>
      </c>
      <c r="B11">
        <f>A/2*(1+COS(omega*A11))</f>
        <v>93.815334002193168</v>
      </c>
      <c r="C11">
        <f t="shared" si="1"/>
        <v>391.34985860893283</v>
      </c>
      <c r="D11">
        <f>SIN(-omega*n*A11)*C11</f>
        <v>0</v>
      </c>
      <c r="E11">
        <f>COS(-omega*n*A11)*C11</f>
        <v>391.34985860893283</v>
      </c>
      <c r="F11">
        <f t="shared" si="2"/>
        <v>0</v>
      </c>
      <c r="G11">
        <f t="shared" si="3"/>
        <v>2.3470417437490489</v>
      </c>
    </row>
    <row r="12" spans="1:10" x14ac:dyDescent="0.25">
      <c r="A12">
        <f t="shared" si="0"/>
        <v>0.9</v>
      </c>
      <c r="B12">
        <f>A/2*(1+COS(omega*A12))</f>
        <v>92.216396275100749</v>
      </c>
      <c r="C12">
        <f t="shared" si="1"/>
        <v>397.65759313084288</v>
      </c>
      <c r="D12">
        <f>SIN(-omega*n*A12)*C12</f>
        <v>0</v>
      </c>
      <c r="E12">
        <f>COS(-omega*n*A12)*C12</f>
        <v>397.65759313084288</v>
      </c>
      <c r="F12">
        <f t="shared" si="2"/>
        <v>0</v>
      </c>
      <c r="G12">
        <f t="shared" si="3"/>
        <v>2.9778151959400536</v>
      </c>
    </row>
    <row r="13" spans="1:10" x14ac:dyDescent="0.25">
      <c r="A13">
        <f t="shared" si="0"/>
        <v>1</v>
      </c>
      <c r="B13">
        <f>A/2*(1+COS(omega*A13))</f>
        <v>90.450849718747378</v>
      </c>
      <c r="C13">
        <f t="shared" si="1"/>
        <v>404.74076744894404</v>
      </c>
      <c r="D13">
        <f>SIN(-omega*n*A13)*C13</f>
        <v>0</v>
      </c>
      <c r="E13">
        <f>COS(-omega*n*A13)*C13</f>
        <v>404.74076744894404</v>
      </c>
      <c r="F13">
        <f t="shared" si="2"/>
        <v>0</v>
      </c>
      <c r="G13">
        <f t="shared" si="3"/>
        <v>3.6861326277501694</v>
      </c>
    </row>
    <row r="14" spans="1:10" x14ac:dyDescent="0.25">
      <c r="A14">
        <f t="shared" si="0"/>
        <v>1.1000000000000001</v>
      </c>
      <c r="B14">
        <f>A/2*(1+COS(omega*A14))</f>
        <v>88.525662138789457</v>
      </c>
      <c r="C14">
        <f t="shared" si="1"/>
        <v>412.608275583487</v>
      </c>
      <c r="D14">
        <f>SIN(-omega*n*A14)*C14</f>
        <v>0</v>
      </c>
      <c r="E14">
        <f>COS(-omega*n*A14)*C14</f>
        <v>412.608275583487</v>
      </c>
      <c r="F14">
        <f t="shared" si="2"/>
        <v>0</v>
      </c>
      <c r="G14">
        <f t="shared" si="3"/>
        <v>4.4728834412044662</v>
      </c>
    </row>
    <row r="15" spans="1:10" x14ac:dyDescent="0.25">
      <c r="A15">
        <f t="shared" si="0"/>
        <v>1.2</v>
      </c>
      <c r="B15">
        <f>A/2*(1+COS(omega*A15))</f>
        <v>86.448431371070583</v>
      </c>
      <c r="C15">
        <f t="shared" si="1"/>
        <v>421.2687391353362</v>
      </c>
      <c r="D15">
        <f>SIN(-omega*n*A15)*C15</f>
        <v>0</v>
      </c>
      <c r="E15">
        <f>COS(-omega*n*A15)*C15</f>
        <v>421.2687391353362</v>
      </c>
      <c r="F15">
        <f t="shared" si="2"/>
        <v>0</v>
      </c>
      <c r="G15">
        <f t="shared" si="3"/>
        <v>5.3389297963893858</v>
      </c>
    </row>
    <row r="16" spans="1:10" x14ac:dyDescent="0.25">
      <c r="A16">
        <f t="shared" si="0"/>
        <v>1.3</v>
      </c>
      <c r="B16">
        <f>A/2*(1+COS(omega*A16))</f>
        <v>84.227355296434439</v>
      </c>
      <c r="C16">
        <f t="shared" si="1"/>
        <v>430.73012160884269</v>
      </c>
      <c r="D16">
        <f>SIN(-omega*n*A16)*C16</f>
        <v>0</v>
      </c>
      <c r="E16">
        <f>COS(-omega*n*A16)*C16</f>
        <v>430.73012160884269</v>
      </c>
      <c r="F16">
        <f t="shared" si="2"/>
        <v>0</v>
      </c>
      <c r="G16">
        <f t="shared" si="3"/>
        <v>6.2850680437400355</v>
      </c>
    </row>
    <row r="17" spans="1:7" x14ac:dyDescent="0.25">
      <c r="A17">
        <f t="shared" si="0"/>
        <v>1.4</v>
      </c>
      <c r="B17">
        <f>A/2*(1+COS(omega*A17))</f>
        <v>81.871199487434481</v>
      </c>
      <c r="C17">
        <f t="shared" si="1"/>
        <v>440.99929822003571</v>
      </c>
      <c r="D17">
        <f>SIN(-omega*n*A17)*C17</f>
        <v>0</v>
      </c>
      <c r="E17">
        <f>COS(-omega*n*A17)*C17</f>
        <v>440.99929822003571</v>
      </c>
      <c r="F17">
        <f t="shared" si="2"/>
        <v>0</v>
      </c>
      <c r="G17">
        <f t="shared" si="3"/>
        <v>7.3119857048593362</v>
      </c>
    </row>
    <row r="18" spans="1:7" x14ac:dyDescent="0.25">
      <c r="A18">
        <f t="shared" si="0"/>
        <v>1.5</v>
      </c>
      <c r="B18">
        <f>A/2*(1+COS(omega*A18))</f>
        <v>79.389262614623661</v>
      </c>
      <c r="C18">
        <f t="shared" si="1"/>
        <v>452.08158115903552</v>
      </c>
      <c r="D18">
        <f>SIN(-omega*n*A18)*C18</f>
        <v>0</v>
      </c>
      <c r="E18">
        <f>COS(-omega*n*A18)*C18</f>
        <v>452.08158115903552</v>
      </c>
      <c r="F18">
        <f t="shared" si="2"/>
        <v>0</v>
      </c>
      <c r="G18">
        <f t="shared" si="3"/>
        <v>8.4202139987593192</v>
      </c>
    </row>
    <row r="19" spans="1:7" x14ac:dyDescent="0.25">
      <c r="A19">
        <f t="shared" si="0"/>
        <v>1.6</v>
      </c>
      <c r="B19">
        <f>A/2*(1+COS(omega*A19))</f>
        <v>76.791339748949824</v>
      </c>
      <c r="C19">
        <f t="shared" si="1"/>
        <v>463.98020120201954</v>
      </c>
      <c r="D19">
        <f>SIN(-omega*n*A19)*C19</f>
        <v>0</v>
      </c>
      <c r="E19">
        <f>COS(-omega*n*A19)*C19</f>
        <v>463.98020120201954</v>
      </c>
      <c r="F19">
        <f t="shared" si="2"/>
        <v>0</v>
      </c>
      <c r="G19">
        <f t="shared" si="3"/>
        <v>9.6100760030577224</v>
      </c>
    </row>
    <row r="20" spans="1:7" x14ac:dyDescent="0.25">
      <c r="A20">
        <f t="shared" si="0"/>
        <v>1.7</v>
      </c>
      <c r="B20">
        <f>A/2*(1+COS(omega*A20))</f>
        <v>74.087683705085766</v>
      </c>
      <c r="C20">
        <f t="shared" si="1"/>
        <v>476.69574772172791</v>
      </c>
      <c r="D20">
        <f>SIN(-omega*n*A20)*C20</f>
        <v>0</v>
      </c>
      <c r="E20">
        <f>COS(-omega*n*A20)*C20</f>
        <v>476.69574772172791</v>
      </c>
      <c r="F20">
        <f t="shared" si="2"/>
        <v>0</v>
      </c>
      <c r="G20">
        <f t="shared" si="3"/>
        <v>10.881630655028557</v>
      </c>
    </row>
    <row r="21" spans="1:7" x14ac:dyDescent="0.25">
      <c r="A21">
        <f t="shared" si="0"/>
        <v>1.8</v>
      </c>
      <c r="B21">
        <f>A/2*(1+COS(omega*A21))</f>
        <v>71.288964578253626</v>
      </c>
      <c r="C21">
        <f t="shared" si="1"/>
        <v>490.22557053106016</v>
      </c>
      <c r="D21">
        <f>SIN(-omega*n*A21)*C21</f>
        <v>0</v>
      </c>
      <c r="E21">
        <f>COS(-omega*n*A21)*C21</f>
        <v>490.22557053106016</v>
      </c>
      <c r="F21">
        <f t="shared" si="2"/>
        <v>0</v>
      </c>
      <c r="G21">
        <f t="shared" si="3"/>
        <v>12.234612935961783</v>
      </c>
    </row>
    <row r="22" spans="1:7" x14ac:dyDescent="0.25">
      <c r="A22">
        <f t="shared" si="0"/>
        <v>1.9</v>
      </c>
      <c r="B22">
        <f>A/2*(1+COS(omega*A22))</f>
        <v>68.4062276342339</v>
      </c>
      <c r="C22">
        <f t="shared" si="1"/>
        <v>504.5631486077221</v>
      </c>
      <c r="D22">
        <f>SIN(-omega*n*A22)*C22</f>
        <v>0</v>
      </c>
      <c r="E22">
        <f>COS(-omega*n*A22)*C22</f>
        <v>504.5631486077221</v>
      </c>
      <c r="F22">
        <f t="shared" si="2"/>
        <v>0</v>
      </c>
      <c r="G22">
        <f t="shared" si="3"/>
        <v>13.668370743627975</v>
      </c>
    </row>
    <row r="23" spans="1:7" x14ac:dyDescent="0.25">
      <c r="A23">
        <f t="shared" si="0"/>
        <v>2</v>
      </c>
      <c r="B23">
        <f>A/2*(1+COS(omega*A23))</f>
        <v>65.450849718747378</v>
      </c>
      <c r="C23">
        <f t="shared" si="1"/>
        <v>519.69743257414666</v>
      </c>
      <c r="D23">
        <f>SIN(-omega*n*A23)*C23</f>
        <v>0</v>
      </c>
      <c r="E23">
        <f>COS(-omega*n*A23)*C23</f>
        <v>519.69743257414666</v>
      </c>
      <c r="F23">
        <f t="shared" si="2"/>
        <v>0</v>
      </c>
      <c r="G23">
        <f t="shared" si="3"/>
        <v>15.181799140270432</v>
      </c>
    </row>
    <row r="24" spans="1:7" x14ac:dyDescent="0.25">
      <c r="A24">
        <f t="shared" si="0"/>
        <v>2.1</v>
      </c>
      <c r="B24">
        <f>A/2*(1+COS(omega*A24))</f>
        <v>62.434494358242731</v>
      </c>
      <c r="C24">
        <f t="shared" si="1"/>
        <v>535.61216981794826</v>
      </c>
      <c r="D24">
        <f>SIN(-omega*n*A24)*C24</f>
        <v>0</v>
      </c>
      <c r="E24">
        <f>COS(-omega*n*A24)*C24</f>
        <v>535.61216981794826</v>
      </c>
      <c r="F24">
        <f t="shared" si="2"/>
        <v>0</v>
      </c>
      <c r="G24">
        <f t="shared" si="3"/>
        <v>16.773272864650593</v>
      </c>
    </row>
    <row r="25" spans="1:7" x14ac:dyDescent="0.25">
      <c r="A25">
        <f t="shared" si="0"/>
        <v>2.2000000000000002</v>
      </c>
      <c r="B25">
        <f>A/2*(1+COS(omega*A25))</f>
        <v>59.369065729286227</v>
      </c>
      <c r="C25">
        <f t="shared" si="1"/>
        <v>552.2852232908499</v>
      </c>
      <c r="D25">
        <f>SIN(-omega*n*A25)*C25</f>
        <v>0</v>
      </c>
      <c r="E25">
        <f>COS(-omega*n*A25)*C25</f>
        <v>552.2852232908499</v>
      </c>
      <c r="F25">
        <f t="shared" si="2"/>
        <v>0</v>
      </c>
      <c r="G25">
        <f t="shared" si="3"/>
        <v>18.44057821194076</v>
      </c>
    </row>
    <row r="26" spans="1:7" x14ac:dyDescent="0.25">
      <c r="A26">
        <f t="shared" si="0"/>
        <v>2.2999999999999998</v>
      </c>
      <c r="B26">
        <f>A/2*(1+COS(omega*A26))</f>
        <v>56.266661678215222</v>
      </c>
      <c r="C26">
        <f t="shared" si="1"/>
        <v>569.68789725861529</v>
      </c>
      <c r="D26">
        <f>SIN(-omega*n*A26)*C26</f>
        <v>0</v>
      </c>
      <c r="E26">
        <f>COS(-omega*n*A26)*C26</f>
        <v>569.68789725861529</v>
      </c>
      <c r="F26">
        <f t="shared" si="2"/>
        <v>0</v>
      </c>
      <c r="G26">
        <f t="shared" si="3"/>
        <v>20.180845608717295</v>
      </c>
    </row>
    <row r="27" spans="1:7" x14ac:dyDescent="0.25">
      <c r="A27">
        <f t="shared" si="0"/>
        <v>2.4</v>
      </c>
      <c r="B27">
        <f>A/2*(1+COS(omega*A27))</f>
        <v>53.139525976465677</v>
      </c>
      <c r="C27">
        <f t="shared" si="1"/>
        <v>587.78428551382206</v>
      </c>
      <c r="D27">
        <f>SIN(-omega*n*A27)*C27</f>
        <v>0</v>
      </c>
      <c r="E27">
        <f>COS(-omega*n*A27)*C27</f>
        <v>587.78428551382206</v>
      </c>
      <c r="F27">
        <f t="shared" si="2"/>
        <v>0</v>
      </c>
      <c r="G27">
        <f t="shared" si="3"/>
        <v>21.990484434237974</v>
      </c>
    </row>
    <row r="28" spans="1:7" x14ac:dyDescent="0.25">
      <c r="A28">
        <f t="shared" si="0"/>
        <v>2.5</v>
      </c>
      <c r="B28">
        <f>A/2*(1+COS(omega*A28))</f>
        <v>50</v>
      </c>
      <c r="C28">
        <f t="shared" si="1"/>
        <v>606.53065971263345</v>
      </c>
      <c r="D28">
        <f>SIN(-omega*n*A28)*C28</f>
        <v>0</v>
      </c>
      <c r="E28">
        <f>COS(-omega*n*A28)*C28</f>
        <v>606.53065971263345</v>
      </c>
      <c r="F28">
        <f t="shared" si="2"/>
        <v>0</v>
      </c>
      <c r="G28">
        <f t="shared" si="3"/>
        <v>23.865121854119113</v>
      </c>
    </row>
    <row r="29" spans="1:7" x14ac:dyDescent="0.25">
      <c r="A29">
        <f t="shared" si="0"/>
        <v>2.6</v>
      </c>
      <c r="B29">
        <f>A/2*(1+COS(omega*A29))</f>
        <v>46.86047402353433</v>
      </c>
      <c r="C29">
        <f t="shared" si="1"/>
        <v>625.87491744501813</v>
      </c>
      <c r="D29">
        <f>SIN(-omega*n*A29)*C29</f>
        <v>0</v>
      </c>
      <c r="E29">
        <f>COS(-omega*n*A29)*C29</f>
        <v>625.87491744501813</v>
      </c>
      <c r="F29">
        <f t="shared" si="2"/>
        <v>0</v>
      </c>
      <c r="G29">
        <f t="shared" si="3"/>
        <v>25.799547627357583</v>
      </c>
    </row>
    <row r="30" spans="1:7" x14ac:dyDescent="0.25">
      <c r="A30">
        <f t="shared" si="0"/>
        <v>2.7</v>
      </c>
      <c r="B30">
        <f>A/2*(1+COS(omega*A30))</f>
        <v>43.733338321784778</v>
      </c>
      <c r="C30">
        <f t="shared" si="1"/>
        <v>645.75611127023797</v>
      </c>
      <c r="D30">
        <f>SIN(-omega*n*A30)*C30</f>
        <v>0</v>
      </c>
      <c r="E30">
        <f>COS(-omega*n*A30)*C30</f>
        <v>645.75611127023797</v>
      </c>
      <c r="F30">
        <f t="shared" si="2"/>
        <v>0</v>
      </c>
      <c r="G30">
        <f t="shared" si="3"/>
        <v>27.78766700987957</v>
      </c>
    </row>
    <row r="31" spans="1:7" x14ac:dyDescent="0.25">
      <c r="A31">
        <f t="shared" si="0"/>
        <v>2.8</v>
      </c>
      <c r="B31">
        <f>A/2*(1+COS(omega*A31))</f>
        <v>40.63093427071378</v>
      </c>
      <c r="C31">
        <f t="shared" si="1"/>
        <v>666.1040811111942</v>
      </c>
      <c r="D31">
        <f>SIN(-omega*n*A31)*C31</f>
        <v>0</v>
      </c>
      <c r="E31">
        <f>COS(-omega*n*A31)*C31</f>
        <v>666.1040811111942</v>
      </c>
      <c r="F31">
        <f t="shared" si="2"/>
        <v>0</v>
      </c>
      <c r="G31">
        <f t="shared" si="3"/>
        <v>29.822463993975187</v>
      </c>
    </row>
    <row r="32" spans="1:7" x14ac:dyDescent="0.25">
      <c r="A32">
        <f t="shared" si="0"/>
        <v>2.9</v>
      </c>
      <c r="B32">
        <f>A/2*(1+COS(omega*A32))</f>
        <v>37.565505641757269</v>
      </c>
      <c r="C32">
        <f t="shared" si="1"/>
        <v>686.83921296351912</v>
      </c>
      <c r="D32">
        <f>SIN(-omega*n*A32)*C32</f>
        <v>0</v>
      </c>
      <c r="E32">
        <f>COS(-omega*n*A32)*C32</f>
        <v>686.83921296351912</v>
      </c>
      <c r="F32">
        <f t="shared" si="2"/>
        <v>0</v>
      </c>
      <c r="G32">
        <f t="shared" si="3"/>
        <v>31.89597717920768</v>
      </c>
    </row>
    <row r="33" spans="1:7" x14ac:dyDescent="0.25">
      <c r="A33">
        <f t="shared" si="0"/>
        <v>3</v>
      </c>
      <c r="B33">
        <f>A/2*(1+COS(omega*A33))</f>
        <v>34.549150281252636</v>
      </c>
      <c r="C33">
        <f t="shared" si="1"/>
        <v>707.87234670233988</v>
      </c>
      <c r="D33">
        <f>SIN(-omega*n*A33)*C33</f>
        <v>0</v>
      </c>
      <c r="E33">
        <f>COS(-omega*n*A33)*C33</f>
        <v>707.87234670233988</v>
      </c>
      <c r="F33">
        <f t="shared" si="2"/>
        <v>0</v>
      </c>
      <c r="G33">
        <f t="shared" si="3"/>
        <v>33.999290553089757</v>
      </c>
    </row>
    <row r="34" spans="1:7" x14ac:dyDescent="0.25">
      <c r="A34">
        <f t="shared" si="0"/>
        <v>3.1</v>
      </c>
      <c r="B34">
        <f>A/2*(1+COS(omega*A34))</f>
        <v>31.593772365766103</v>
      </c>
      <c r="C34">
        <f t="shared" si="1"/>
        <v>729.10485473732842</v>
      </c>
      <c r="D34">
        <f>SIN(-omega*n*A34)*C34</f>
        <v>0</v>
      </c>
      <c r="E34">
        <f>COS(-omega*n*A34)*C34</f>
        <v>729.10485473732842</v>
      </c>
      <c r="F34">
        <f t="shared" si="2"/>
        <v>0</v>
      </c>
      <c r="G34">
        <f t="shared" si="3"/>
        <v>36.122541356588613</v>
      </c>
    </row>
    <row r="35" spans="1:7" x14ac:dyDescent="0.25">
      <c r="A35">
        <f t="shared" si="0"/>
        <v>3.2</v>
      </c>
      <c r="B35">
        <f>A/2*(1+COS(omega*A35))</f>
        <v>28.711035421746367</v>
      </c>
      <c r="C35">
        <f t="shared" si="1"/>
        <v>750.42891127225266</v>
      </c>
      <c r="D35">
        <f>SIN(-omega*n*A35)*C35</f>
        <v>0</v>
      </c>
      <c r="E35">
        <f>COS(-omega*n*A35)*C35</f>
        <v>750.42891127225266</v>
      </c>
      <c r="F35">
        <f t="shared" si="2"/>
        <v>0</v>
      </c>
      <c r="G35">
        <f t="shared" si="3"/>
        <v>38.25494701008104</v>
      </c>
    </row>
    <row r="36" spans="1:7" x14ac:dyDescent="0.25">
      <c r="A36">
        <f t="shared" si="0"/>
        <v>3.3</v>
      </c>
      <c r="B36">
        <f>A/2*(1+COS(omega*A36))</f>
        <v>25.912316294914252</v>
      </c>
      <c r="C36">
        <f t="shared" si="1"/>
        <v>771.72796889766391</v>
      </c>
      <c r="D36">
        <f>SIN(-omega*n*A36)*C36</f>
        <v>0</v>
      </c>
      <c r="E36">
        <f>COS(-omega*n*A36)*C36</f>
        <v>771.72796889766391</v>
      </c>
      <c r="F36">
        <f t="shared" si="2"/>
        <v>0</v>
      </c>
      <c r="G36">
        <f t="shared" si="3"/>
        <v>40.38485277262216</v>
      </c>
    </row>
    <row r="37" spans="1:7" x14ac:dyDescent="0.25">
      <c r="A37">
        <f t="shared" si="0"/>
        <v>3.4</v>
      </c>
      <c r="B37">
        <f>A/2*(1+COS(omega*A37))</f>
        <v>23.20866025105018</v>
      </c>
      <c r="C37">
        <f t="shared" si="1"/>
        <v>792.8774551551727</v>
      </c>
      <c r="D37">
        <f>SIN(-omega*n*A37)*C37</f>
        <v>0</v>
      </c>
      <c r="E37">
        <f>COS(-omega*n*A37)*C37</f>
        <v>792.8774551551727</v>
      </c>
      <c r="F37">
        <f t="shared" si="2"/>
        <v>0</v>
      </c>
      <c r="G37">
        <f t="shared" si="3"/>
        <v>42.499801398373037</v>
      </c>
    </row>
    <row r="38" spans="1:7" x14ac:dyDescent="0.25">
      <c r="A38">
        <f t="shared" si="0"/>
        <v>3.5</v>
      </c>
      <c r="B38">
        <f>A/2*(1+COS(omega*A38))</f>
        <v>20.61073738537635</v>
      </c>
      <c r="C38">
        <f t="shared" si="1"/>
        <v>813.74569658043174</v>
      </c>
      <c r="D38">
        <f>SIN(-omega*n*A38)*C38</f>
        <v>0</v>
      </c>
      <c r="E38">
        <f>COS(-omega*n*A38)*C38</f>
        <v>813.74569658043174</v>
      </c>
      <c r="F38">
        <f t="shared" si="2"/>
        <v>0</v>
      </c>
      <c r="G38">
        <f t="shared" si="3"/>
        <v>44.586625540898943</v>
      </c>
    </row>
    <row r="39" spans="1:7" x14ac:dyDescent="0.25">
      <c r="A39">
        <f t="shared" si="0"/>
        <v>3.6</v>
      </c>
      <c r="B39">
        <f>A/2*(1+COS(omega*A39))</f>
        <v>18.128800512565512</v>
      </c>
      <c r="C39">
        <f t="shared" si="1"/>
        <v>834.19507163907019</v>
      </c>
      <c r="D39">
        <f>SIN(-omega*n*A39)*C39</f>
        <v>0</v>
      </c>
      <c r="E39">
        <f>COS(-omega*n*A39)*C39</f>
        <v>834.19507163907019</v>
      </c>
      <c r="F39">
        <f t="shared" si="2"/>
        <v>0</v>
      </c>
      <c r="G39">
        <f t="shared" si="3"/>
        <v>46.631563046762793</v>
      </c>
    </row>
    <row r="40" spans="1:7" x14ac:dyDescent="0.25">
      <c r="A40">
        <f t="shared" si="0"/>
        <v>3.7</v>
      </c>
      <c r="B40">
        <f>A/2*(1+COS(omega*A40))</f>
        <v>15.772644703565565</v>
      </c>
      <c r="C40">
        <f t="shared" si="1"/>
        <v>854.0833870576696</v>
      </c>
      <c r="D40">
        <f>SIN(-omega*n*A40)*C40</f>
        <v>0</v>
      </c>
      <c r="E40">
        <f>COS(-omega*n*A40)*C40</f>
        <v>854.0833870576696</v>
      </c>
      <c r="F40">
        <f t="shared" si="2"/>
        <v>0</v>
      </c>
      <c r="G40">
        <f t="shared" si="3"/>
        <v>48.620394588622737</v>
      </c>
    </row>
    <row r="41" spans="1:7" x14ac:dyDescent="0.25">
      <c r="A41">
        <f t="shared" si="0"/>
        <v>3.8</v>
      </c>
      <c r="B41">
        <f>A/2*(1+COS(omega*A41))</f>
        <v>13.551568628929434</v>
      </c>
      <c r="C41">
        <f t="shared" si="1"/>
        <v>873.26546452633374</v>
      </c>
      <c r="D41">
        <f>SIN(-omega*n*A41)*C41</f>
        <v>0</v>
      </c>
      <c r="E41">
        <f>COS(-omega*n*A41)*C41</f>
        <v>873.26546452633374</v>
      </c>
      <c r="F41">
        <f t="shared" si="2"/>
        <v>0</v>
      </c>
      <c r="G41">
        <f t="shared" si="3"/>
        <v>50.538602335489145</v>
      </c>
    </row>
    <row r="42" spans="1:7" x14ac:dyDescent="0.25">
      <c r="A42">
        <f t="shared" si="0"/>
        <v>3.9</v>
      </c>
      <c r="B42">
        <f>A/2*(1+COS(omega*A42))</f>
        <v>11.474337861210543</v>
      </c>
      <c r="C42">
        <f t="shared" si="1"/>
        <v>891.594916876566</v>
      </c>
      <c r="D42">
        <f>SIN(-omega*n*A42)*C42</f>
        <v>0</v>
      </c>
      <c r="E42">
        <f>COS(-omega*n*A42)*C42</f>
        <v>891.594916876566</v>
      </c>
      <c r="F42">
        <f t="shared" si="2"/>
        <v>0</v>
      </c>
      <c r="G42">
        <f t="shared" si="3"/>
        <v>52.371547570512369</v>
      </c>
    </row>
    <row r="43" spans="1:7" x14ac:dyDescent="0.25">
      <c r="A43">
        <f t="shared" si="0"/>
        <v>4</v>
      </c>
      <c r="B43">
        <f>A/2*(1+COS(omega*A43))</f>
        <v>9.5491502812526328</v>
      </c>
      <c r="C43">
        <f t="shared" si="1"/>
        <v>908.92608493620151</v>
      </c>
      <c r="D43">
        <f>SIN(-omega*n*A43)*C43</f>
        <v>0</v>
      </c>
      <c r="E43">
        <f>COS(-omega*n*A43)*C43</f>
        <v>908.92608493620151</v>
      </c>
      <c r="F43">
        <f t="shared" si="2"/>
        <v>0</v>
      </c>
      <c r="G43">
        <f t="shared" si="3"/>
        <v>54.104664376475924</v>
      </c>
    </row>
    <row r="44" spans="1:7" x14ac:dyDescent="0.25">
      <c r="A44">
        <f t="shared" si="0"/>
        <v>4.0999999999999996</v>
      </c>
      <c r="B44">
        <f>A/2*(1+COS(omega*A44))</f>
        <v>7.7836037248992573</v>
      </c>
      <c r="C44">
        <f t="shared" si="1"/>
        <v>925.11609868945072</v>
      </c>
      <c r="D44">
        <f>SIN(-omega*n*A44)*C44</f>
        <v>0</v>
      </c>
      <c r="E44">
        <f>COS(-omega*n*A44)*C44</f>
        <v>925.11609868945072</v>
      </c>
      <c r="F44">
        <f t="shared" si="2"/>
        <v>0</v>
      </c>
      <c r="G44">
        <f t="shared" si="3"/>
        <v>55.723665751800837</v>
      </c>
    </row>
    <row r="45" spans="1:7" x14ac:dyDescent="0.25">
      <c r="A45">
        <f t="shared" si="0"/>
        <v>4.2</v>
      </c>
      <c r="B45">
        <f>A/2*(1+COS(omega*A45))</f>
        <v>6.184665997806821</v>
      </c>
      <c r="C45">
        <f t="shared" si="1"/>
        <v>940.02701950393703</v>
      </c>
      <c r="D45">
        <f>SIN(-omega*n*A45)*C45</f>
        <v>0</v>
      </c>
      <c r="E45">
        <f>COS(-omega*n*A45)*C45</f>
        <v>940.02701950393703</v>
      </c>
      <c r="F45">
        <f t="shared" si="2"/>
        <v>0</v>
      </c>
      <c r="G45">
        <f t="shared" si="3"/>
        <v>57.214757833249479</v>
      </c>
    </row>
    <row r="46" spans="1:7" x14ac:dyDescent="0.25">
      <c r="A46">
        <f t="shared" si="0"/>
        <v>4.3</v>
      </c>
      <c r="B46">
        <f>A/2*(1+COS(omega*A46))</f>
        <v>4.7586473766990327</v>
      </c>
      <c r="C46">
        <f t="shared" si="1"/>
        <v>953.52801440808275</v>
      </c>
      <c r="D46">
        <f>SIN(-omega*n*A46)*C46</f>
        <v>0</v>
      </c>
      <c r="E46">
        <f>COS(-omega*n*A46)*C46</f>
        <v>953.52801440808275</v>
      </c>
      <c r="F46">
        <f t="shared" si="2"/>
        <v>0</v>
      </c>
      <c r="G46">
        <f t="shared" si="3"/>
        <v>58.56485732366405</v>
      </c>
    </row>
    <row r="47" spans="1:7" x14ac:dyDescent="0.25">
      <c r="A47">
        <f t="shared" si="0"/>
        <v>4.4000000000000004</v>
      </c>
      <c r="B47">
        <f>A/2*(1+COS(omega*A47))</f>
        <v>3.5111757055874273</v>
      </c>
      <c r="C47">
        <f t="shared" si="1"/>
        <v>965.49750906891643</v>
      </c>
      <c r="D47">
        <f>SIN(-omega*n*A47)*C47</f>
        <v>0</v>
      </c>
      <c r="E47">
        <f>COS(-omega*n*A47)*C47</f>
        <v>965.49750906891643</v>
      </c>
      <c r="F47">
        <f t="shared" si="2"/>
        <v>0</v>
      </c>
      <c r="G47">
        <f t="shared" si="3"/>
        <v>59.761806789747425</v>
      </c>
    </row>
    <row r="48" spans="1:7" x14ac:dyDescent="0.25">
      <c r="A48">
        <f t="shared" si="0"/>
        <v>4.5</v>
      </c>
      <c r="B48">
        <f>A/2*(1+COS(omega*A48))</f>
        <v>2.4471741852423232</v>
      </c>
      <c r="C48">
        <f t="shared" si="1"/>
        <v>975.82526354310789</v>
      </c>
      <c r="D48">
        <f>SIN(-omega*n*A48)*C48</f>
        <v>0</v>
      </c>
      <c r="E48">
        <f>COS(-omega*n*A48)*C48</f>
        <v>975.82526354310789</v>
      </c>
      <c r="F48">
        <f t="shared" si="2"/>
        <v>0</v>
      </c>
      <c r="G48">
        <f t="shared" si="3"/>
        <v>60.794582237166566</v>
      </c>
    </row>
    <row r="49" spans="1:7" x14ac:dyDescent="0.25">
      <c r="A49">
        <f t="shared" si="0"/>
        <v>4.5999999999999996</v>
      </c>
      <c r="B49">
        <f>A/2*(1+COS(omega*A49))</f>
        <v>1.5708419435684517</v>
      </c>
      <c r="C49">
        <f t="shared" si="1"/>
        <v>984.41431429356271</v>
      </c>
      <c r="D49">
        <f>SIN(-omega*n*A49)*C49</f>
        <v>0</v>
      </c>
      <c r="E49">
        <f>COS(-omega*n*A49)*C49</f>
        <v>984.41431429356271</v>
      </c>
      <c r="F49">
        <f t="shared" si="2"/>
        <v>0</v>
      </c>
      <c r="G49">
        <f t="shared" si="3"/>
        <v>61.653487312212043</v>
      </c>
    </row>
    <row r="50" spans="1:7" x14ac:dyDescent="0.25">
      <c r="A50">
        <f t="shared" si="0"/>
        <v>4.7</v>
      </c>
      <c r="B50">
        <f>A/2*(1+COS(omega*A50))</f>
        <v>0.88563746356556394</v>
      </c>
      <c r="C50">
        <f t="shared" si="1"/>
        <v>991.18272753056624</v>
      </c>
      <c r="D50">
        <f>SIN(-omega*n*A50)*C50</f>
        <v>0</v>
      </c>
      <c r="E50">
        <f>COS(-omega*n*A50)*C50</f>
        <v>991.18272753056624</v>
      </c>
      <c r="F50">
        <f t="shared" si="2"/>
        <v>0</v>
      </c>
      <c r="G50">
        <f t="shared" si="3"/>
        <v>62.330328635912402</v>
      </c>
    </row>
    <row r="51" spans="1:7" x14ac:dyDescent="0.25">
      <c r="A51">
        <f t="shared" si="0"/>
        <v>4.8</v>
      </c>
      <c r="B51">
        <f>A/2*(1+COS(omega*A51))</f>
        <v>0.39426493427611176</v>
      </c>
      <c r="C51">
        <f t="shared" si="1"/>
        <v>996.06511269481064</v>
      </c>
      <c r="D51">
        <f>SIN(-omega*n*A51)*C51</f>
        <v>0</v>
      </c>
      <c r="E51">
        <f>COS(-omega*n*A51)*C51</f>
        <v>996.06511269481064</v>
      </c>
      <c r="F51">
        <f t="shared" si="2"/>
        <v>0</v>
      </c>
      <c r="G51">
        <f t="shared" si="3"/>
        <v>62.81856715233684</v>
      </c>
    </row>
    <row r="52" spans="1:7" x14ac:dyDescent="0.25">
      <c r="A52">
        <f t="shared" si="0"/>
        <v>4.9000000000000004</v>
      </c>
      <c r="B52">
        <f>A/2*(1+COS(omega*A52))</f>
        <v>9.8663578586422052E-2</v>
      </c>
      <c r="C52">
        <f t="shared" si="1"/>
        <v>999.01385077918883</v>
      </c>
      <c r="D52">
        <f>SIN(-omega*n*A52)*C52</f>
        <v>0</v>
      </c>
      <c r="E52">
        <f>COS(-omega*n*A52)*C52</f>
        <v>999.01385077918883</v>
      </c>
      <c r="F52">
        <f t="shared" si="2"/>
        <v>0</v>
      </c>
      <c r="G52">
        <f t="shared" si="3"/>
        <v>63.11344096077466</v>
      </c>
    </row>
    <row r="53" spans="1:7" x14ac:dyDescent="0.25">
      <c r="A53">
        <f t="shared" si="0"/>
        <v>5</v>
      </c>
      <c r="B53">
        <f>A/2*(1+COS(omega*A53))</f>
        <v>0</v>
      </c>
      <c r="C53">
        <f t="shared" si="1"/>
        <v>1000</v>
      </c>
      <c r="D53">
        <f>SIN(-omega*n*A53)*C53</f>
        <v>0</v>
      </c>
      <c r="E53">
        <f>COS(-omega*n*A53)*C53</f>
        <v>1000</v>
      </c>
      <c r="F53">
        <f t="shared" si="2"/>
        <v>0</v>
      </c>
      <c r="G53">
        <f t="shared" si="3"/>
        <v>63.212055882855779</v>
      </c>
    </row>
    <row r="54" spans="1:7" x14ac:dyDescent="0.25">
      <c r="A54">
        <f t="shared" si="0"/>
        <v>5.0999999999999996</v>
      </c>
      <c r="B54">
        <f>A/2*(1+COS(omega*A54))</f>
        <v>9.8663578586422052E-2</v>
      </c>
      <c r="C54">
        <f t="shared" si="1"/>
        <v>999.01385077918883</v>
      </c>
      <c r="D54">
        <f>SIN(-omega*n*A54)*C54</f>
        <v>0</v>
      </c>
      <c r="E54">
        <f>COS(-omega*n*A54)*C54</f>
        <v>999.01385077918883</v>
      </c>
      <c r="F54">
        <f t="shared" si="2"/>
        <v>0</v>
      </c>
      <c r="G54">
        <f t="shared" si="3"/>
        <v>63.11344096077466</v>
      </c>
    </row>
    <row r="55" spans="1:7" x14ac:dyDescent="0.25">
      <c r="A55">
        <f t="shared" si="0"/>
        <v>5.2</v>
      </c>
      <c r="B55">
        <f>A/2*(1+COS(omega*A55))</f>
        <v>0.3942649342761062</v>
      </c>
      <c r="C55">
        <f t="shared" si="1"/>
        <v>996.06511269481075</v>
      </c>
      <c r="D55">
        <f>SIN(-omega*n*A55)*C55</f>
        <v>0</v>
      </c>
      <c r="E55">
        <f>COS(-omega*n*A55)*C55</f>
        <v>996.06511269481075</v>
      </c>
      <c r="F55">
        <f t="shared" si="2"/>
        <v>0</v>
      </c>
      <c r="G55">
        <f t="shared" si="3"/>
        <v>62.818567152336854</v>
      </c>
    </row>
    <row r="56" spans="1:7" x14ac:dyDescent="0.25">
      <c r="A56">
        <f t="shared" si="0"/>
        <v>5.3</v>
      </c>
      <c r="B56">
        <f>A/2*(1+COS(omega*A56))</f>
        <v>0.88563746356556394</v>
      </c>
      <c r="C56">
        <f t="shared" si="1"/>
        <v>991.18272753056624</v>
      </c>
      <c r="D56">
        <f>SIN(-omega*n*A56)*C56</f>
        <v>0</v>
      </c>
      <c r="E56">
        <f>COS(-omega*n*A56)*C56</f>
        <v>991.18272753056624</v>
      </c>
      <c r="F56">
        <f t="shared" si="2"/>
        <v>0</v>
      </c>
      <c r="G56">
        <f t="shared" si="3"/>
        <v>62.330328635912402</v>
      </c>
    </row>
    <row r="57" spans="1:7" x14ac:dyDescent="0.25">
      <c r="A57">
        <f t="shared" si="0"/>
        <v>5.4</v>
      </c>
      <c r="B57">
        <f>A/2*(1+COS(omega*A57))</f>
        <v>1.5708419435684462</v>
      </c>
      <c r="C57">
        <f t="shared" si="1"/>
        <v>984.41431429356282</v>
      </c>
      <c r="D57">
        <f>SIN(-omega*n*A57)*C57</f>
        <v>0</v>
      </c>
      <c r="E57">
        <f>COS(-omega*n*A57)*C57</f>
        <v>984.41431429356282</v>
      </c>
      <c r="F57">
        <f t="shared" si="2"/>
        <v>0</v>
      </c>
      <c r="G57">
        <f t="shared" si="3"/>
        <v>61.653487312212057</v>
      </c>
    </row>
    <row r="58" spans="1:7" x14ac:dyDescent="0.25">
      <c r="A58">
        <f t="shared" si="0"/>
        <v>5.5</v>
      </c>
      <c r="B58">
        <f>A/2*(1+COS(omega*A58))</f>
        <v>2.4471741852423179</v>
      </c>
      <c r="C58">
        <f t="shared" si="1"/>
        <v>975.82526354310789</v>
      </c>
      <c r="D58">
        <f>SIN(-omega*n*A58)*C58</f>
        <v>0</v>
      </c>
      <c r="E58">
        <f>COS(-omega*n*A58)*C58</f>
        <v>975.82526354310789</v>
      </c>
      <c r="F58">
        <f t="shared" si="2"/>
        <v>0</v>
      </c>
      <c r="G58">
        <f t="shared" si="3"/>
        <v>60.794582237166566</v>
      </c>
    </row>
    <row r="59" spans="1:7" x14ac:dyDescent="0.25">
      <c r="A59">
        <f t="shared" si="0"/>
        <v>5.6</v>
      </c>
      <c r="B59">
        <f>A/2*(1+COS(omega*A59))</f>
        <v>3.5111757055874215</v>
      </c>
      <c r="C59">
        <f t="shared" si="1"/>
        <v>965.49750906891654</v>
      </c>
      <c r="D59">
        <f>SIN(-omega*n*A59)*C59</f>
        <v>0</v>
      </c>
      <c r="E59">
        <f>COS(-omega*n*A59)*C59</f>
        <v>965.49750906891654</v>
      </c>
      <c r="F59">
        <f t="shared" si="2"/>
        <v>0</v>
      </c>
      <c r="G59">
        <f t="shared" si="3"/>
        <v>59.761806789747432</v>
      </c>
    </row>
    <row r="60" spans="1:7" x14ac:dyDescent="0.25">
      <c r="A60">
        <f t="shared" si="0"/>
        <v>5.7</v>
      </c>
      <c r="B60">
        <f>A/2*(1+COS(omega*A60))</f>
        <v>4.7586473766990265</v>
      </c>
      <c r="C60">
        <f t="shared" si="1"/>
        <v>953.52801440808275</v>
      </c>
      <c r="D60">
        <f>SIN(-omega*n*A60)*C60</f>
        <v>0</v>
      </c>
      <c r="E60">
        <f>COS(-omega*n*A60)*C60</f>
        <v>953.52801440808275</v>
      </c>
      <c r="F60">
        <f t="shared" si="2"/>
        <v>0</v>
      </c>
      <c r="G60">
        <f t="shared" si="3"/>
        <v>58.564857323664043</v>
      </c>
    </row>
    <row r="61" spans="1:7" x14ac:dyDescent="0.25">
      <c r="A61">
        <f t="shared" si="0"/>
        <v>5.8</v>
      </c>
      <c r="B61">
        <f>A/2*(1+COS(omega*A61))</f>
        <v>6.1846659978068157</v>
      </c>
      <c r="C61">
        <f t="shared" si="1"/>
        <v>940.02701950393703</v>
      </c>
      <c r="D61">
        <f>SIN(-omega*n*A61)*C61</f>
        <v>0</v>
      </c>
      <c r="E61">
        <f>COS(-omega*n*A61)*C61</f>
        <v>940.02701950393703</v>
      </c>
      <c r="F61">
        <f t="shared" si="2"/>
        <v>0</v>
      </c>
      <c r="G61">
        <f t="shared" si="3"/>
        <v>57.214757833249472</v>
      </c>
    </row>
    <row r="62" spans="1:7" x14ac:dyDescent="0.25">
      <c r="A62">
        <f t="shared" si="0"/>
        <v>5.9</v>
      </c>
      <c r="B62">
        <f>A/2*(1+COS(omega*A62))</f>
        <v>7.783603724899252</v>
      </c>
      <c r="C62">
        <f t="shared" si="1"/>
        <v>925.11609868945072</v>
      </c>
      <c r="D62">
        <f>SIN(-omega*n*A62)*C62</f>
        <v>0</v>
      </c>
      <c r="E62">
        <f>COS(-omega*n*A62)*C62</f>
        <v>925.11609868945072</v>
      </c>
      <c r="F62">
        <f t="shared" si="2"/>
        <v>0</v>
      </c>
      <c r="G62">
        <f t="shared" si="3"/>
        <v>55.72366575180083</v>
      </c>
    </row>
    <row r="63" spans="1:7" x14ac:dyDescent="0.25">
      <c r="A63">
        <f t="shared" si="0"/>
        <v>6</v>
      </c>
      <c r="B63">
        <f>A/2*(1+COS(omega*A63))</f>
        <v>9.5491502812526221</v>
      </c>
      <c r="C63">
        <f t="shared" si="1"/>
        <v>908.92608493620162</v>
      </c>
      <c r="D63">
        <f>SIN(-omega*n*A63)*C63</f>
        <v>0</v>
      </c>
      <c r="E63">
        <f>COS(-omega*n*A63)*C63</f>
        <v>908.92608493620162</v>
      </c>
      <c r="F63">
        <f t="shared" si="2"/>
        <v>0</v>
      </c>
      <c r="G63">
        <f t="shared" si="3"/>
        <v>54.104664376475924</v>
      </c>
    </row>
    <row r="64" spans="1:7" x14ac:dyDescent="0.25">
      <c r="A64">
        <f t="shared" si="0"/>
        <v>6.1</v>
      </c>
      <c r="B64">
        <f>A/2*(1+COS(omega*A64))</f>
        <v>11.47433786121052</v>
      </c>
      <c r="C64">
        <f t="shared" si="1"/>
        <v>891.59491687656623</v>
      </c>
      <c r="D64">
        <f>SIN(-omega*n*A64)*C64</f>
        <v>0</v>
      </c>
      <c r="E64">
        <f>COS(-omega*n*A64)*C64</f>
        <v>891.59491687656623</v>
      </c>
      <c r="F64">
        <f t="shared" si="2"/>
        <v>0</v>
      </c>
      <c r="G64">
        <f t="shared" si="3"/>
        <v>52.371547570512391</v>
      </c>
    </row>
    <row r="65" spans="1:7" x14ac:dyDescent="0.25">
      <c r="A65">
        <f t="shared" si="0"/>
        <v>6.2</v>
      </c>
      <c r="B65">
        <f>A/2*(1+COS(omega*A65))</f>
        <v>13.551568628929422</v>
      </c>
      <c r="C65">
        <f t="shared" si="1"/>
        <v>873.26546452633374</v>
      </c>
      <c r="D65">
        <f>SIN(-omega*n*A65)*C65</f>
        <v>0</v>
      </c>
      <c r="E65">
        <f>COS(-omega*n*A65)*C65</f>
        <v>873.26546452633374</v>
      </c>
      <c r="F65">
        <f t="shared" si="2"/>
        <v>0</v>
      </c>
      <c r="G65">
        <f t="shared" si="3"/>
        <v>50.538602335489131</v>
      </c>
    </row>
    <row r="66" spans="1:7" x14ac:dyDescent="0.25">
      <c r="A66">
        <f t="shared" si="0"/>
        <v>6.3</v>
      </c>
      <c r="B66">
        <f>A/2*(1+COS(omega*A66))</f>
        <v>15.772644703565552</v>
      </c>
      <c r="C66">
        <f t="shared" si="1"/>
        <v>854.0833870576696</v>
      </c>
      <c r="D66">
        <f>SIN(-omega*n*A66)*C66</f>
        <v>0</v>
      </c>
      <c r="E66">
        <f>COS(-omega*n*A66)*C66</f>
        <v>854.0833870576696</v>
      </c>
      <c r="F66">
        <f t="shared" si="2"/>
        <v>0</v>
      </c>
      <c r="G66">
        <f t="shared" si="3"/>
        <v>48.620394588622723</v>
      </c>
    </row>
    <row r="67" spans="1:7" x14ac:dyDescent="0.25">
      <c r="A67">
        <f t="shared" si="0"/>
        <v>6.4</v>
      </c>
      <c r="B67">
        <f>A/2*(1+COS(omega*A67))</f>
        <v>18.128800512565522</v>
      </c>
      <c r="C67">
        <f t="shared" si="1"/>
        <v>834.19507163907019</v>
      </c>
      <c r="D67">
        <f>SIN(-omega*n*A67)*C67</f>
        <v>0</v>
      </c>
      <c r="E67">
        <f>COS(-omega*n*A67)*C67</f>
        <v>834.19507163907019</v>
      </c>
      <c r="F67">
        <f t="shared" si="2"/>
        <v>0</v>
      </c>
      <c r="G67">
        <f t="shared" si="3"/>
        <v>46.631563046762771</v>
      </c>
    </row>
    <row r="68" spans="1:7" x14ac:dyDescent="0.25">
      <c r="A68">
        <f t="shared" ref="A68:A103" si="4">(ROW()-3)/10</f>
        <v>6.5</v>
      </c>
      <c r="B68">
        <f>A/2*(1+COS(omega*A68))</f>
        <v>20.610737385376339</v>
      </c>
      <c r="C68">
        <f t="shared" ref="C68:C103" si="5">1000*EXP(-B68/100)</f>
        <v>813.74569658043174</v>
      </c>
      <c r="D68">
        <f>SIN(-omega*n*A68)*C68</f>
        <v>0</v>
      </c>
      <c r="E68">
        <f>COS(-omega*n*A68)*C68</f>
        <v>813.74569658043174</v>
      </c>
      <c r="F68">
        <f t="shared" si="2"/>
        <v>0</v>
      </c>
      <c r="G68">
        <f t="shared" si="3"/>
        <v>44.586625540898936</v>
      </c>
    </row>
    <row r="69" spans="1:7" x14ac:dyDescent="0.25">
      <c r="A69">
        <f t="shared" si="4"/>
        <v>6.6</v>
      </c>
      <c r="B69">
        <f>A/2*(1+COS(omega*A69))</f>
        <v>23.208660251050144</v>
      </c>
      <c r="C69">
        <f t="shared" si="5"/>
        <v>792.87745515517304</v>
      </c>
      <c r="D69">
        <f>SIN(-omega*n*A69)*C69</f>
        <v>0</v>
      </c>
      <c r="E69">
        <f>COS(-omega*n*A69)*C69</f>
        <v>792.87745515517304</v>
      </c>
      <c r="F69">
        <f t="shared" si="2"/>
        <v>0</v>
      </c>
      <c r="G69">
        <f t="shared" si="3"/>
        <v>42.499801398373073</v>
      </c>
    </row>
    <row r="70" spans="1:7" x14ac:dyDescent="0.25">
      <c r="A70">
        <f t="shared" si="4"/>
        <v>6.7</v>
      </c>
      <c r="B70">
        <f>A/2*(1+COS(omega*A70))</f>
        <v>25.912316294914241</v>
      </c>
      <c r="C70">
        <f t="shared" si="5"/>
        <v>771.72796889766403</v>
      </c>
      <c r="D70">
        <f>SIN(-omega*n*A70)*C70</f>
        <v>0</v>
      </c>
      <c r="E70">
        <f>COS(-omega*n*A70)*C70</f>
        <v>771.72796889766403</v>
      </c>
      <c r="F70">
        <f t="shared" ref="F70:F103" si="6">(A70-A69)*(D70-D69)+F69</f>
        <v>0</v>
      </c>
      <c r="G70">
        <f t="shared" ref="G70:G103" si="7">(A70-A69)*(E70-E69)+G69</f>
        <v>40.38485277262216</v>
      </c>
    </row>
    <row r="71" spans="1:7" x14ac:dyDescent="0.25">
      <c r="A71">
        <f t="shared" si="4"/>
        <v>6.8</v>
      </c>
      <c r="B71">
        <f>A/2*(1+COS(omega*A71))</f>
        <v>28.711035421746356</v>
      </c>
      <c r="C71">
        <f t="shared" si="5"/>
        <v>750.42891127225278</v>
      </c>
      <c r="D71">
        <f>SIN(-omega*n*A71)*C71</f>
        <v>0</v>
      </c>
      <c r="E71">
        <f>COS(-omega*n*A71)*C71</f>
        <v>750.42891127225278</v>
      </c>
      <c r="F71">
        <f t="shared" si="6"/>
        <v>0</v>
      </c>
      <c r="G71">
        <f t="shared" si="7"/>
        <v>38.25494701008104</v>
      </c>
    </row>
    <row r="72" spans="1:7" x14ac:dyDescent="0.25">
      <c r="A72">
        <f t="shared" si="4"/>
        <v>6.9</v>
      </c>
      <c r="B72">
        <f>A/2*(1+COS(omega*A72))</f>
        <v>31.59377236576611</v>
      </c>
      <c r="C72">
        <f t="shared" si="5"/>
        <v>729.10485473732842</v>
      </c>
      <c r="D72">
        <f>SIN(-omega*n*A72)*C72</f>
        <v>0</v>
      </c>
      <c r="E72">
        <f>COS(-omega*n*A72)*C72</f>
        <v>729.10485473732842</v>
      </c>
      <c r="F72">
        <f t="shared" si="6"/>
        <v>0</v>
      </c>
      <c r="G72">
        <f t="shared" si="7"/>
        <v>36.122541356588592</v>
      </c>
    </row>
    <row r="73" spans="1:7" x14ac:dyDescent="0.25">
      <c r="A73">
        <f t="shared" si="4"/>
        <v>7</v>
      </c>
      <c r="B73">
        <f>A/2*(1+COS(omega*A73))</f>
        <v>34.549150281252622</v>
      </c>
      <c r="C73">
        <f t="shared" si="5"/>
        <v>707.87234670234</v>
      </c>
      <c r="D73">
        <f>SIN(-omega*n*A73)*C73</f>
        <v>0</v>
      </c>
      <c r="E73">
        <f>COS(-omega*n*A73)*C73</f>
        <v>707.87234670234</v>
      </c>
      <c r="F73">
        <f t="shared" si="6"/>
        <v>0</v>
      </c>
      <c r="G73">
        <f t="shared" si="7"/>
        <v>33.999290553089757</v>
      </c>
    </row>
    <row r="74" spans="1:7" x14ac:dyDescent="0.25">
      <c r="A74">
        <f t="shared" si="4"/>
        <v>7.1</v>
      </c>
      <c r="B74">
        <f>A/2*(1+COS(omega*A74))</f>
        <v>37.565505641757234</v>
      </c>
      <c r="C74">
        <f t="shared" si="5"/>
        <v>686.83921296351934</v>
      </c>
      <c r="D74">
        <f>SIN(-omega*n*A74)*C74</f>
        <v>0</v>
      </c>
      <c r="E74">
        <f>COS(-omega*n*A74)*C74</f>
        <v>686.83921296351934</v>
      </c>
      <c r="F74">
        <f t="shared" si="6"/>
        <v>0</v>
      </c>
      <c r="G74">
        <f t="shared" si="7"/>
        <v>31.895977179207698</v>
      </c>
    </row>
    <row r="75" spans="1:7" x14ac:dyDescent="0.25">
      <c r="A75">
        <f t="shared" si="4"/>
        <v>7.2</v>
      </c>
      <c r="B75">
        <f>A/2*(1+COS(omega*A75))</f>
        <v>40.630934270713773</v>
      </c>
      <c r="C75">
        <f t="shared" si="5"/>
        <v>666.1040811111942</v>
      </c>
      <c r="D75">
        <f>SIN(-omega*n*A75)*C75</f>
        <v>0</v>
      </c>
      <c r="E75">
        <f>COS(-omega*n*A75)*C75</f>
        <v>666.1040811111942</v>
      </c>
      <c r="F75">
        <f t="shared" si="6"/>
        <v>0</v>
      </c>
      <c r="G75">
        <f t="shared" si="7"/>
        <v>29.822463993975173</v>
      </c>
    </row>
    <row r="76" spans="1:7" x14ac:dyDescent="0.25">
      <c r="A76">
        <f t="shared" si="4"/>
        <v>7.3</v>
      </c>
      <c r="B76">
        <f>A/2*(1+COS(omega*A76))</f>
        <v>43.733338321784771</v>
      </c>
      <c r="C76">
        <f t="shared" si="5"/>
        <v>645.75611127023797</v>
      </c>
      <c r="D76">
        <f>SIN(-omega*n*A76)*C76</f>
        <v>0</v>
      </c>
      <c r="E76">
        <f>COS(-omega*n*A76)*C76</f>
        <v>645.75611127023797</v>
      </c>
      <c r="F76">
        <f t="shared" si="6"/>
        <v>0</v>
      </c>
      <c r="G76">
        <f t="shared" si="7"/>
        <v>27.787667009879556</v>
      </c>
    </row>
    <row r="77" spans="1:7" x14ac:dyDescent="0.25">
      <c r="A77">
        <f t="shared" si="4"/>
        <v>7.4</v>
      </c>
      <c r="B77">
        <f>A/2*(1+COS(omega*A77))</f>
        <v>46.860474023534337</v>
      </c>
      <c r="C77">
        <f t="shared" si="5"/>
        <v>625.87491744501813</v>
      </c>
      <c r="D77">
        <f>SIN(-omega*n*A77)*C77</f>
        <v>0</v>
      </c>
      <c r="E77">
        <f>COS(-omega*n*A77)*C77</f>
        <v>625.87491744501813</v>
      </c>
      <c r="F77">
        <f t="shared" si="6"/>
        <v>0</v>
      </c>
      <c r="G77">
        <f t="shared" si="7"/>
        <v>25.799547627357562</v>
      </c>
    </row>
    <row r="78" spans="1:7" x14ac:dyDescent="0.25">
      <c r="A78">
        <f t="shared" si="4"/>
        <v>7.5</v>
      </c>
      <c r="B78">
        <f>A/2*(1+COS(omega*A78))</f>
        <v>49.999999999999986</v>
      </c>
      <c r="C78">
        <f t="shared" si="5"/>
        <v>606.53065971263356</v>
      </c>
      <c r="D78">
        <f>SIN(-omega*n*A78)*C78</f>
        <v>0</v>
      </c>
      <c r="E78">
        <f>COS(-omega*n*A78)*C78</f>
        <v>606.53065971263356</v>
      </c>
      <c r="F78">
        <f t="shared" si="6"/>
        <v>0</v>
      </c>
      <c r="G78">
        <f t="shared" si="7"/>
        <v>23.865121854119113</v>
      </c>
    </row>
    <row r="79" spans="1:7" x14ac:dyDescent="0.25">
      <c r="A79">
        <f t="shared" si="4"/>
        <v>7.6</v>
      </c>
      <c r="B79">
        <f>A/2*(1+COS(omega*A79))</f>
        <v>53.139525976465642</v>
      </c>
      <c r="C79">
        <f t="shared" si="5"/>
        <v>587.78428551382217</v>
      </c>
      <c r="D79">
        <f>SIN(-omega*n*A79)*C79</f>
        <v>0</v>
      </c>
      <c r="E79">
        <f>COS(-omega*n*A79)*C79</f>
        <v>587.78428551382217</v>
      </c>
      <c r="F79">
        <f t="shared" si="6"/>
        <v>0</v>
      </c>
      <c r="G79">
        <f t="shared" si="7"/>
        <v>21.990484434237981</v>
      </c>
    </row>
    <row r="80" spans="1:7" x14ac:dyDescent="0.25">
      <c r="A80">
        <f t="shared" si="4"/>
        <v>7.7</v>
      </c>
      <c r="B80">
        <f>A/2*(1+COS(omega*A80))</f>
        <v>56.266661678215215</v>
      </c>
      <c r="C80">
        <f t="shared" si="5"/>
        <v>569.68789725861529</v>
      </c>
      <c r="D80">
        <f>SIN(-omega*n*A80)*C80</f>
        <v>0</v>
      </c>
      <c r="E80">
        <f>COS(-omega*n*A80)*C80</f>
        <v>569.68789725861529</v>
      </c>
      <c r="F80">
        <f t="shared" si="6"/>
        <v>0</v>
      </c>
      <c r="G80">
        <f t="shared" si="7"/>
        <v>20.180845608717284</v>
      </c>
    </row>
    <row r="81" spans="1:7" x14ac:dyDescent="0.25">
      <c r="A81">
        <f t="shared" si="4"/>
        <v>7.8</v>
      </c>
      <c r="B81">
        <f>A/2*(1+COS(omega*A81))</f>
        <v>59.36906572928622</v>
      </c>
      <c r="C81">
        <f t="shared" si="5"/>
        <v>552.2852232908499</v>
      </c>
      <c r="D81">
        <f>SIN(-omega*n*A81)*C81</f>
        <v>0</v>
      </c>
      <c r="E81">
        <f>COS(-omega*n*A81)*C81</f>
        <v>552.2852232908499</v>
      </c>
      <c r="F81">
        <f t="shared" si="6"/>
        <v>0</v>
      </c>
      <c r="G81">
        <f t="shared" si="7"/>
        <v>18.44057821194075</v>
      </c>
    </row>
    <row r="82" spans="1:7" x14ac:dyDescent="0.25">
      <c r="A82">
        <f t="shared" si="4"/>
        <v>7.9</v>
      </c>
      <c r="B82">
        <f>A/2*(1+COS(omega*A82))</f>
        <v>62.434494358242745</v>
      </c>
      <c r="C82">
        <f t="shared" si="5"/>
        <v>535.61216981794814</v>
      </c>
      <c r="D82">
        <f>SIN(-omega*n*A82)*C82</f>
        <v>0</v>
      </c>
      <c r="E82">
        <f>COS(-omega*n*A82)*C82</f>
        <v>535.61216981794814</v>
      </c>
      <c r="F82">
        <f t="shared" si="6"/>
        <v>0</v>
      </c>
      <c r="G82">
        <f t="shared" si="7"/>
        <v>16.773272864650565</v>
      </c>
    </row>
    <row r="83" spans="1:7" x14ac:dyDescent="0.25">
      <c r="A83">
        <f t="shared" si="4"/>
        <v>8</v>
      </c>
      <c r="B83">
        <f>A/2*(1+COS(omega*A83))</f>
        <v>65.450849718747364</v>
      </c>
      <c r="C83">
        <f t="shared" si="5"/>
        <v>519.69743257414666</v>
      </c>
      <c r="D83">
        <f>SIN(-omega*n*A83)*C83</f>
        <v>0</v>
      </c>
      <c r="E83">
        <f>COS(-omega*n*A83)*C83</f>
        <v>519.69743257414666</v>
      </c>
      <c r="F83">
        <f t="shared" si="6"/>
        <v>0</v>
      </c>
      <c r="G83">
        <f t="shared" si="7"/>
        <v>15.181799140270423</v>
      </c>
    </row>
    <row r="84" spans="1:7" x14ac:dyDescent="0.25">
      <c r="A84">
        <f t="shared" si="4"/>
        <v>8.1</v>
      </c>
      <c r="B84">
        <f>A/2*(1+COS(omega*A84))</f>
        <v>68.406227634233872</v>
      </c>
      <c r="C84">
        <f t="shared" si="5"/>
        <v>504.56314860772221</v>
      </c>
      <c r="D84">
        <f>SIN(-omega*n*A84)*C84</f>
        <v>0</v>
      </c>
      <c r="E84">
        <f>COS(-omega*n*A84)*C84</f>
        <v>504.56314860772221</v>
      </c>
      <c r="F84">
        <f t="shared" si="6"/>
        <v>0</v>
      </c>
      <c r="G84">
        <f t="shared" si="7"/>
        <v>13.668370743627984</v>
      </c>
    </row>
    <row r="85" spans="1:7" x14ac:dyDescent="0.25">
      <c r="A85">
        <f t="shared" si="4"/>
        <v>8.1999999999999993</v>
      </c>
      <c r="B85">
        <f>A/2*(1+COS(omega*A85))</f>
        <v>71.288964578253584</v>
      </c>
      <c r="C85">
        <f t="shared" si="5"/>
        <v>490.22557053106033</v>
      </c>
      <c r="D85">
        <f>SIN(-omega*n*A85)*C85</f>
        <v>0</v>
      </c>
      <c r="E85">
        <f>COS(-omega*n*A85)*C85</f>
        <v>490.22557053106033</v>
      </c>
      <c r="F85">
        <f t="shared" si="6"/>
        <v>0</v>
      </c>
      <c r="G85">
        <f t="shared" si="7"/>
        <v>12.234612935961801</v>
      </c>
    </row>
    <row r="86" spans="1:7" x14ac:dyDescent="0.25">
      <c r="A86">
        <f t="shared" si="4"/>
        <v>8.3000000000000007</v>
      </c>
      <c r="B86">
        <f>A/2*(1+COS(omega*A86))</f>
        <v>74.08768370508578</v>
      </c>
      <c r="C86">
        <f t="shared" si="5"/>
        <v>476.6957477217278</v>
      </c>
      <c r="D86">
        <f>SIN(-omega*n*A86)*C86</f>
        <v>0</v>
      </c>
      <c r="E86">
        <f>COS(-omega*n*A86)*C86</f>
        <v>476.6957477217278</v>
      </c>
      <c r="F86">
        <f t="shared" si="6"/>
        <v>0</v>
      </c>
      <c r="G86">
        <f t="shared" si="7"/>
        <v>10.881630655028529</v>
      </c>
    </row>
    <row r="87" spans="1:7" x14ac:dyDescent="0.25">
      <c r="A87">
        <f t="shared" si="4"/>
        <v>8.4</v>
      </c>
      <c r="B87">
        <f>A/2*(1+COS(omega*A87))</f>
        <v>76.791339748949838</v>
      </c>
      <c r="C87">
        <f t="shared" si="5"/>
        <v>463.98020120201949</v>
      </c>
      <c r="D87">
        <f>SIN(-omega*n*A87)*C87</f>
        <v>0</v>
      </c>
      <c r="E87">
        <f>COS(-omega*n*A87)*C87</f>
        <v>463.98020120201949</v>
      </c>
      <c r="F87">
        <f t="shared" si="6"/>
        <v>0</v>
      </c>
      <c r="G87">
        <f t="shared" si="7"/>
        <v>9.6100760030577028</v>
      </c>
    </row>
    <row r="88" spans="1:7" x14ac:dyDescent="0.25">
      <c r="A88">
        <f t="shared" si="4"/>
        <v>8.5</v>
      </c>
      <c r="B88">
        <f>A/2*(1+COS(omega*A88))</f>
        <v>79.389262614623647</v>
      </c>
      <c r="C88">
        <f t="shared" si="5"/>
        <v>452.08158115903558</v>
      </c>
      <c r="D88">
        <f>SIN(-omega*n*A88)*C88</f>
        <v>0</v>
      </c>
      <c r="E88">
        <f>COS(-omega*n*A88)*C88</f>
        <v>452.08158115903558</v>
      </c>
      <c r="F88">
        <f t="shared" si="6"/>
        <v>0</v>
      </c>
      <c r="G88">
        <f t="shared" si="7"/>
        <v>8.4202139987593156</v>
      </c>
    </row>
    <row r="89" spans="1:7" x14ac:dyDescent="0.25">
      <c r="A89">
        <f t="shared" si="4"/>
        <v>8.6</v>
      </c>
      <c r="B89">
        <f>A/2*(1+COS(omega*A89))</f>
        <v>81.871199487434467</v>
      </c>
      <c r="C89">
        <f t="shared" si="5"/>
        <v>440.99929822003577</v>
      </c>
      <c r="D89">
        <f>SIN(-omega*n*A89)*C89</f>
        <v>0</v>
      </c>
      <c r="E89">
        <f>COS(-omega*n*A89)*C89</f>
        <v>440.99929822003577</v>
      </c>
      <c r="F89">
        <f t="shared" si="6"/>
        <v>0</v>
      </c>
      <c r="G89">
        <f t="shared" si="7"/>
        <v>7.3119857048593389</v>
      </c>
    </row>
    <row r="90" spans="1:7" x14ac:dyDescent="0.25">
      <c r="A90">
        <f t="shared" si="4"/>
        <v>8.6999999999999993</v>
      </c>
      <c r="B90">
        <f>A/2*(1+COS(omega*A90))</f>
        <v>84.227355296434396</v>
      </c>
      <c r="C90">
        <f t="shared" si="5"/>
        <v>430.73012160884292</v>
      </c>
      <c r="D90">
        <f>SIN(-omega*n*A90)*C90</f>
        <v>0</v>
      </c>
      <c r="E90">
        <f>COS(-omega*n*A90)*C90</f>
        <v>430.73012160884292</v>
      </c>
      <c r="F90">
        <f t="shared" si="6"/>
        <v>0</v>
      </c>
      <c r="G90">
        <f t="shared" si="7"/>
        <v>6.2850680437400577</v>
      </c>
    </row>
    <row r="91" spans="1:7" x14ac:dyDescent="0.25">
      <c r="A91">
        <f t="shared" si="4"/>
        <v>8.8000000000000007</v>
      </c>
      <c r="B91">
        <f>A/2*(1+COS(omega*A91))</f>
        <v>86.448431371070583</v>
      </c>
      <c r="C91">
        <f t="shared" si="5"/>
        <v>421.2687391353362</v>
      </c>
      <c r="D91">
        <f>SIN(-omega*n*A91)*C91</f>
        <v>0</v>
      </c>
      <c r="E91">
        <f>COS(-omega*n*A91)*C91</f>
        <v>421.2687391353362</v>
      </c>
      <c r="F91">
        <f t="shared" si="6"/>
        <v>0</v>
      </c>
      <c r="G91">
        <f t="shared" si="7"/>
        <v>5.3389297963893725</v>
      </c>
    </row>
    <row r="92" spans="1:7" x14ac:dyDescent="0.25">
      <c r="A92">
        <f t="shared" si="4"/>
        <v>8.9</v>
      </c>
      <c r="B92">
        <f>A/2*(1+COS(omega*A92))</f>
        <v>88.525662138789471</v>
      </c>
      <c r="C92">
        <f t="shared" si="5"/>
        <v>412.60827558348694</v>
      </c>
      <c r="D92">
        <f>SIN(-omega*n*A92)*C92</f>
        <v>0</v>
      </c>
      <c r="E92">
        <f>COS(-omega*n*A92)*C92</f>
        <v>412.60827558348694</v>
      </c>
      <c r="F92">
        <f t="shared" si="6"/>
        <v>0</v>
      </c>
      <c r="G92">
        <f t="shared" si="7"/>
        <v>4.4728834412044494</v>
      </c>
    </row>
    <row r="93" spans="1:7" x14ac:dyDescent="0.25">
      <c r="A93">
        <f t="shared" si="4"/>
        <v>9</v>
      </c>
      <c r="B93">
        <f>A/2*(1+COS(omega*A93))</f>
        <v>90.450849718747378</v>
      </c>
      <c r="C93">
        <f t="shared" si="5"/>
        <v>404.74076744894404</v>
      </c>
      <c r="D93">
        <f>SIN(-omega*n*A93)*C93</f>
        <v>0</v>
      </c>
      <c r="E93">
        <f>COS(-omega*n*A93)*C93</f>
        <v>404.74076744894404</v>
      </c>
      <c r="F93">
        <f t="shared" si="6"/>
        <v>0</v>
      </c>
      <c r="G93">
        <f t="shared" si="7"/>
        <v>3.6861326277501618</v>
      </c>
    </row>
    <row r="94" spans="1:7" x14ac:dyDescent="0.25">
      <c r="A94">
        <f t="shared" si="4"/>
        <v>9.1</v>
      </c>
      <c r="B94">
        <f>A/2*(1+COS(omega*A94))</f>
        <v>92.216396275100749</v>
      </c>
      <c r="C94">
        <f t="shared" si="5"/>
        <v>397.65759313084288</v>
      </c>
      <c r="D94">
        <f>SIN(-omega*n*A94)*C94</f>
        <v>0</v>
      </c>
      <c r="E94">
        <f>COS(-omega*n*A94)*C94</f>
        <v>397.65759313084288</v>
      </c>
      <c r="F94">
        <f t="shared" si="6"/>
        <v>0</v>
      </c>
      <c r="G94">
        <f t="shared" si="7"/>
        <v>2.9778151959400487</v>
      </c>
    </row>
    <row r="95" spans="1:7" x14ac:dyDescent="0.25">
      <c r="A95">
        <f t="shared" si="4"/>
        <v>9.1999999999999993</v>
      </c>
      <c r="B95">
        <f>A/2*(1+COS(omega*A95))</f>
        <v>93.815334002193154</v>
      </c>
      <c r="C95">
        <f t="shared" si="5"/>
        <v>391.34985860893295</v>
      </c>
      <c r="D95">
        <f>SIN(-omega*n*A95)*C95</f>
        <v>0</v>
      </c>
      <c r="E95">
        <f>COS(-omega*n*A95)*C95</f>
        <v>391.34985860893295</v>
      </c>
      <c r="F95">
        <f t="shared" si="6"/>
        <v>0</v>
      </c>
      <c r="G95">
        <f t="shared" si="7"/>
        <v>2.3470417437490574</v>
      </c>
    </row>
    <row r="96" spans="1:7" x14ac:dyDescent="0.25">
      <c r="A96">
        <f t="shared" si="4"/>
        <v>9.3000000000000007</v>
      </c>
      <c r="B96">
        <f>A/2*(1+COS(omega*A96))</f>
        <v>95.241352623300983</v>
      </c>
      <c r="C96">
        <f t="shared" si="5"/>
        <v>385.80873934764168</v>
      </c>
      <c r="D96">
        <f>SIN(-omega*n*A96)*C96</f>
        <v>0</v>
      </c>
      <c r="E96">
        <f>COS(-omega*n*A96)*C96</f>
        <v>385.80873934764168</v>
      </c>
      <c r="F96">
        <f t="shared" si="6"/>
        <v>0</v>
      </c>
      <c r="G96">
        <f t="shared" si="7"/>
        <v>1.7929298176199224</v>
      </c>
    </row>
    <row r="97" spans="1:7" x14ac:dyDescent="0.25">
      <c r="A97">
        <f t="shared" si="4"/>
        <v>9.4</v>
      </c>
      <c r="B97">
        <f>A/2*(1+COS(omega*A97))</f>
        <v>96.488824294412566</v>
      </c>
      <c r="C97">
        <f t="shared" si="5"/>
        <v>381.02577967933769</v>
      </c>
      <c r="D97">
        <f>SIN(-omega*n*A97)*C97</f>
        <v>0</v>
      </c>
      <c r="E97">
        <f>COS(-omega*n*A97)*C97</f>
        <v>381.02577967933769</v>
      </c>
      <c r="F97">
        <f t="shared" si="6"/>
        <v>0</v>
      </c>
      <c r="G97">
        <f t="shared" si="7"/>
        <v>1.3146338507895252</v>
      </c>
    </row>
    <row r="98" spans="1:7" x14ac:dyDescent="0.25">
      <c r="A98">
        <f t="shared" si="4"/>
        <v>9.5</v>
      </c>
      <c r="B98">
        <f>A/2*(1+COS(omega*A98))</f>
        <v>97.552825814757682</v>
      </c>
      <c r="C98">
        <f t="shared" si="5"/>
        <v>376.9931512489386</v>
      </c>
      <c r="D98">
        <f>SIN(-omega*n*A98)*C98</f>
        <v>0</v>
      </c>
      <c r="E98">
        <f>COS(-omega*n*A98)*C98</f>
        <v>376.9931512489386</v>
      </c>
      <c r="F98">
        <f t="shared" si="6"/>
        <v>0</v>
      </c>
      <c r="G98">
        <f t="shared" si="7"/>
        <v>0.91137100774961799</v>
      </c>
    </row>
    <row r="99" spans="1:7" x14ac:dyDescent="0.25">
      <c r="A99">
        <f t="shared" si="4"/>
        <v>9.6</v>
      </c>
      <c r="B99">
        <f>A/2*(1+COS(omega*A99))</f>
        <v>98.429158056431561</v>
      </c>
      <c r="C99">
        <f t="shared" si="5"/>
        <v>373.70387227195147</v>
      </c>
      <c r="D99">
        <f>SIN(-omega*n*A99)*C99</f>
        <v>0</v>
      </c>
      <c r="E99">
        <f>COS(-omega*n*A99)*C99</f>
        <v>373.70387227195147</v>
      </c>
      <c r="F99">
        <f t="shared" si="6"/>
        <v>0</v>
      </c>
      <c r="G99">
        <f t="shared" si="7"/>
        <v>0.58244311005090577</v>
      </c>
    </row>
    <row r="100" spans="1:7" x14ac:dyDescent="0.25">
      <c r="A100">
        <f t="shared" si="4"/>
        <v>9.6999999999999993</v>
      </c>
      <c r="B100">
        <f>A/2*(1+COS(omega*A100))</f>
        <v>99.114362536434413</v>
      </c>
      <c r="C100">
        <f t="shared" si="5"/>
        <v>371.15198938946168</v>
      </c>
      <c r="D100">
        <f>SIN(-omega*n*A100)*C100</f>
        <v>0</v>
      </c>
      <c r="E100">
        <f>COS(-omega*n*A100)*C100</f>
        <v>371.15198938946168</v>
      </c>
      <c r="F100">
        <f t="shared" si="6"/>
        <v>0</v>
      </c>
      <c r="G100">
        <f t="shared" si="7"/>
        <v>0.32725482180192744</v>
      </c>
    </row>
    <row r="101" spans="1:7" x14ac:dyDescent="0.25">
      <c r="A101">
        <f t="shared" si="4"/>
        <v>9.8000000000000007</v>
      </c>
      <c r="B101">
        <f>A/2*(1+COS(omega*A101))</f>
        <v>99.605735065723906</v>
      </c>
      <c r="C101">
        <f t="shared" si="5"/>
        <v>369.3327238177838</v>
      </c>
      <c r="D101">
        <f>SIN(-omega*n*A101)*C101</f>
        <v>0</v>
      </c>
      <c r="E101">
        <f>COS(-omega*n*A101)*C101</f>
        <v>369.3327238177838</v>
      </c>
      <c r="F101">
        <f t="shared" si="6"/>
        <v>0</v>
      </c>
      <c r="G101">
        <f t="shared" si="7"/>
        <v>0.14532826463413739</v>
      </c>
    </row>
    <row r="102" spans="1:7" x14ac:dyDescent="0.25">
      <c r="A102">
        <f t="shared" si="4"/>
        <v>9.9</v>
      </c>
      <c r="B102">
        <f>A/2*(1+COS(omega*A102))</f>
        <v>99.901336421413575</v>
      </c>
      <c r="C102">
        <f t="shared" si="5"/>
        <v>368.24258330804105</v>
      </c>
      <c r="D102">
        <f>SIN(-omega*n*A102)*C102</f>
        <v>0</v>
      </c>
      <c r="E102">
        <f>COS(-omega*n*A102)*C102</f>
        <v>368.24258330804105</v>
      </c>
      <c r="F102">
        <f t="shared" si="6"/>
        <v>0</v>
      </c>
      <c r="G102">
        <f t="shared" si="7"/>
        <v>3.631421365986251E-2</v>
      </c>
    </row>
    <row r="103" spans="1:7" x14ac:dyDescent="0.25">
      <c r="A103">
        <f t="shared" si="4"/>
        <v>10</v>
      </c>
      <c r="B103">
        <f>A/2*(1+COS(omega*A103))</f>
        <v>100</v>
      </c>
      <c r="C103">
        <f t="shared" si="5"/>
        <v>367.87944117144235</v>
      </c>
      <c r="D103">
        <f>SIN(-omega*n*A103)*C103</f>
        <v>0</v>
      </c>
      <c r="E103">
        <f>COS(-omega*n*A103)*C103</f>
        <v>367.87944117144235</v>
      </c>
      <c r="F103">
        <f t="shared" si="6"/>
        <v>0</v>
      </c>
      <c r="G103">
        <f t="shared" si="7"/>
        <v>-7.0290995246580223E-15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D8236-0272-453B-BB6E-52A1A52113CE}">
  <dimension ref="A1:N12"/>
  <sheetViews>
    <sheetView tabSelected="1" workbookViewId="0">
      <selection activeCell="R19" sqref="R19"/>
    </sheetView>
  </sheetViews>
  <sheetFormatPr defaultRowHeight="15" x14ac:dyDescent="0.25"/>
  <sheetData>
    <row r="1" spans="1:14" x14ac:dyDescent="0.25">
      <c r="A1">
        <v>0</v>
      </c>
      <c r="B1" s="1">
        <v>1.249E-8</v>
      </c>
      <c r="C1">
        <v>1.397</v>
      </c>
    </row>
    <row r="2" spans="1:14" x14ac:dyDescent="0.25">
      <c r="A2">
        <v>1</v>
      </c>
      <c r="B2" s="1">
        <v>2.0000000000000001E-9</v>
      </c>
      <c r="C2">
        <v>1.37</v>
      </c>
    </row>
    <row r="3" spans="1:14" x14ac:dyDescent="0.25">
      <c r="A3">
        <v>2</v>
      </c>
      <c r="B3" s="1">
        <v>1.0000000000000001E-9</v>
      </c>
      <c r="C3">
        <v>1.3560000000000001</v>
      </c>
    </row>
    <row r="4" spans="1:14" x14ac:dyDescent="0.25">
      <c r="A4">
        <v>3</v>
      </c>
      <c r="B4" s="1">
        <v>6.6799999999999997E-10</v>
      </c>
      <c r="C4">
        <v>1.35</v>
      </c>
    </row>
    <row r="9" spans="1:14" x14ac:dyDescent="0.25">
      <c r="N9">
        <v>2.2200000000000002</v>
      </c>
    </row>
    <row r="10" spans="1:14" x14ac:dyDescent="0.25">
      <c r="N10">
        <v>3.2000000000000001E-2</v>
      </c>
    </row>
    <row r="11" spans="1:14" x14ac:dyDescent="0.25">
      <c r="N11">
        <f>N9^2-N10^2</f>
        <v>4.9273760000000006</v>
      </c>
    </row>
    <row r="12" spans="1:14" x14ac:dyDescent="0.25">
      <c r="N12">
        <f>N9*2*N10</f>
        <v>0.14208000000000001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14</vt:i4>
      </vt:variant>
    </vt:vector>
  </HeadingPairs>
  <TitlesOfParts>
    <vt:vector size="19" baseType="lpstr">
      <vt:lpstr>Sheet1</vt:lpstr>
      <vt:lpstr>Focused</vt:lpstr>
      <vt:lpstr>NP</vt:lpstr>
      <vt:lpstr>Sheet2</vt:lpstr>
      <vt:lpstr>Sheet3</vt:lpstr>
      <vt:lpstr>Sheet2!A</vt:lpstr>
      <vt:lpstr>A</vt:lpstr>
      <vt:lpstr>B</vt:lpstr>
      <vt:lpstr>C_</vt:lpstr>
      <vt:lpstr>n</vt:lpstr>
      <vt:lpstr>omega</vt:lpstr>
      <vt:lpstr>P_IM</vt:lpstr>
      <vt:lpstr>p_off</vt:lpstr>
      <vt:lpstr>p_OM</vt:lpstr>
      <vt:lpstr>p_S</vt:lpstr>
      <vt:lpstr>phi</vt:lpstr>
      <vt:lpstr>r_IM</vt:lpstr>
      <vt:lpstr>r_OM</vt:lpstr>
      <vt:lpstr>r_S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Colton L Bruni</dc:creator>
  <cp:lastModifiedBy>Colton L Bruni</cp:lastModifiedBy>
  <dcterms:created xsi:type="dcterms:W3CDTF">2025-09-20T04:27:42Z</dcterms:created>
  <dcterms:modified xsi:type="dcterms:W3CDTF">2025-10-28T07:26:26Z</dcterms:modified>
</cp:coreProperties>
</file>