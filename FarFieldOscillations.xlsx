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Colton Bruni\Documents\GitHub\SNOM_JCM\"/>
    </mc:Choice>
  </mc:AlternateContent>
  <xr:revisionPtr revIDLastSave="0" documentId="13_ncr:1_{7B0A2E94-1FD3-4FE6-87E2-B70D429B06FF}" xr6:coauthVersionLast="47" xr6:coauthVersionMax="47" xr10:uidLastSave="{00000000-0000-0000-0000-000000000000}"/>
  <bookViews>
    <workbookView xWindow="-120" yWindow="-120" windowWidth="29040" windowHeight="15720" activeTab="2" xr2:uid="{96DE1B5B-F95A-45E5-9C29-7CBD159388AF}"/>
  </bookViews>
  <sheets>
    <sheet name="Sheet1" sheetId="1" r:id="rId1"/>
    <sheet name="Focused" sheetId="4" r:id="rId2"/>
    <sheet name="NP" sheetId="3" r:id="rId3"/>
    <sheet name="Sheet2" sheetId="2" r:id="rId4"/>
  </sheets>
  <definedNames>
    <definedName name="A">Focused!$H$1</definedName>
    <definedName name="B">Focused!$H$2</definedName>
    <definedName name="C_">Focused!$H$3</definedName>
    <definedName name="P_IM">Sheet2!$R$2</definedName>
    <definedName name="p_off">Sheet2!$I$1</definedName>
    <definedName name="p_OM">Sheet2!$R$1</definedName>
    <definedName name="p_S">Sheet2!$R$3</definedName>
    <definedName name="phi">Sheet2!$I$2</definedName>
    <definedName name="r_IM">Sheet2!$P$2</definedName>
    <definedName name="r_OM">Sheet2!$P$1</definedName>
    <definedName name="r_S">Sheet2!$P$3</definedName>
    <definedName name="solver_adj" localSheetId="1" hidden="1">Focused!$H$3</definedName>
    <definedName name="solver_adj" localSheetId="0" hidden="1">Sheet1!$O$87:$O$89</definedName>
    <definedName name="solver_cvg" localSheetId="1" hidden="1">0.0001</definedName>
    <definedName name="solver_cvg" localSheetId="0" hidden="1">0.0001</definedName>
    <definedName name="solver_drv" localSheetId="1" hidden="1">1</definedName>
    <definedName name="solver_drv" localSheetId="0" hidden="1">1</definedName>
    <definedName name="solver_eng" localSheetId="1" hidden="1">1</definedName>
    <definedName name="solver_eng" localSheetId="0" hidden="1">1</definedName>
    <definedName name="solver_est" localSheetId="1" hidden="1">1</definedName>
    <definedName name="solver_est" localSheetId="0" hidden="1">1</definedName>
    <definedName name="solver_itr" localSheetId="1" hidden="1">2147483647</definedName>
    <definedName name="solver_itr" localSheetId="0" hidden="1">2147483647</definedName>
    <definedName name="solver_mip" localSheetId="1" hidden="1">2147483647</definedName>
    <definedName name="solver_mip" localSheetId="0" hidden="1">2147483647</definedName>
    <definedName name="solver_mni" localSheetId="1" hidden="1">30</definedName>
    <definedName name="solver_mni" localSheetId="0" hidden="1">30</definedName>
    <definedName name="solver_mrt" localSheetId="1" hidden="1">0.075</definedName>
    <definedName name="solver_mrt" localSheetId="0" hidden="1">0.075</definedName>
    <definedName name="solver_msl" localSheetId="1" hidden="1">2</definedName>
    <definedName name="solver_msl" localSheetId="0" hidden="1">2</definedName>
    <definedName name="solver_neg" localSheetId="1" hidden="1">1</definedName>
    <definedName name="solver_neg" localSheetId="0" hidden="1">1</definedName>
    <definedName name="solver_nod" localSheetId="1" hidden="1">2147483647</definedName>
    <definedName name="solver_nod" localSheetId="0" hidden="1">2147483647</definedName>
    <definedName name="solver_num" localSheetId="1" hidden="1">0</definedName>
    <definedName name="solver_num" localSheetId="0" hidden="1">0</definedName>
    <definedName name="solver_nwt" localSheetId="1" hidden="1">1</definedName>
    <definedName name="solver_nwt" localSheetId="0" hidden="1">1</definedName>
    <definedName name="solver_opt" localSheetId="1" hidden="1">Focused!$H$13</definedName>
    <definedName name="solver_opt" localSheetId="0" hidden="1">Sheet1!$M$110</definedName>
    <definedName name="solver_pre" localSheetId="1" hidden="1">0.000001</definedName>
    <definedName name="solver_pre" localSheetId="0" hidden="1">0.000001</definedName>
    <definedName name="solver_rbv" localSheetId="1" hidden="1">1</definedName>
    <definedName name="solver_rbv" localSheetId="0" hidden="1">1</definedName>
    <definedName name="solver_rlx" localSheetId="1" hidden="1">2</definedName>
    <definedName name="solver_rlx" localSheetId="0" hidden="1">2</definedName>
    <definedName name="solver_rsd" localSheetId="1" hidden="1">0</definedName>
    <definedName name="solver_rsd" localSheetId="0" hidden="1">0</definedName>
    <definedName name="solver_scl" localSheetId="1" hidden="1">1</definedName>
    <definedName name="solver_scl" localSheetId="0" hidden="1">1</definedName>
    <definedName name="solver_sho" localSheetId="1" hidden="1">2</definedName>
    <definedName name="solver_sho" localSheetId="0" hidden="1">2</definedName>
    <definedName name="solver_ssz" localSheetId="1" hidden="1">100</definedName>
    <definedName name="solver_ssz" localSheetId="0" hidden="1">100</definedName>
    <definedName name="solver_tim" localSheetId="1" hidden="1">2147483647</definedName>
    <definedName name="solver_tim" localSheetId="0" hidden="1">2147483647</definedName>
    <definedName name="solver_tol" localSheetId="1" hidden="1">0.01</definedName>
    <definedName name="solver_tol" localSheetId="0" hidden="1">0.01</definedName>
    <definedName name="solver_typ" localSheetId="1" hidden="1">3</definedName>
    <definedName name="solver_typ" localSheetId="0" hidden="1">2</definedName>
    <definedName name="solver_val" localSheetId="1" hidden="1">0</definedName>
    <definedName name="solver_val" localSheetId="0" hidden="1">0</definedName>
    <definedName name="solver_ver" localSheetId="1" hidden="1">3</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3" l="1"/>
  <c r="B7" i="3"/>
  <c r="E47" i="3"/>
  <c r="E48" i="3" s="1"/>
  <c r="B47" i="3"/>
  <c r="E39" i="3"/>
  <c r="B39" i="3"/>
  <c r="E31" i="3"/>
  <c r="E32" i="3" s="1"/>
  <c r="B31" i="3"/>
  <c r="E23" i="3"/>
  <c r="B23" i="3"/>
  <c r="E15" i="3"/>
  <c r="B15" i="3"/>
  <c r="E16" i="3"/>
  <c r="B8" i="3"/>
  <c r="B16" i="3"/>
  <c r="B24" i="3"/>
  <c r="B25" i="3" s="1"/>
  <c r="O15" i="3" s="1"/>
  <c r="B32" i="3"/>
  <c r="B40" i="3"/>
  <c r="B48" i="3"/>
  <c r="E8" i="3"/>
  <c r="E24" i="3"/>
  <c r="E40" i="3"/>
  <c r="Q15" i="3"/>
  <c r="A24" i="3"/>
  <c r="A23" i="3"/>
  <c r="A22" i="3"/>
  <c r="R15" i="3"/>
  <c r="D23" i="3"/>
  <c r="D24" i="3" s="1"/>
  <c r="D22" i="3"/>
  <c r="A7" i="3"/>
  <c r="A6" i="3"/>
  <c r="A14" i="3"/>
  <c r="A15" i="3"/>
  <c r="A31" i="3"/>
  <c r="A30" i="3"/>
  <c r="A38" i="3"/>
  <c r="D7" i="3"/>
  <c r="D6" i="3"/>
  <c r="D15" i="3"/>
  <c r="D14" i="3"/>
  <c r="D31" i="3"/>
  <c r="D30" i="3"/>
  <c r="D39" i="3"/>
  <c r="D38" i="3"/>
  <c r="D47" i="3"/>
  <c r="D46" i="3"/>
  <c r="A47" i="3"/>
  <c r="A46" i="3"/>
  <c r="A39" i="3"/>
  <c r="P17" i="4"/>
  <c r="I27" i="1"/>
  <c r="I28" i="1"/>
  <c r="I29" i="1"/>
  <c r="I74" i="1" s="1"/>
  <c r="I30" i="1"/>
  <c r="I31" i="1"/>
  <c r="I36" i="1"/>
  <c r="I38" i="1"/>
  <c r="I40" i="1"/>
  <c r="I42" i="1"/>
  <c r="G70" i="1"/>
  <c r="I72" i="1" s="1"/>
  <c r="G71" i="1"/>
  <c r="G24" i="1"/>
  <c r="G25" i="1"/>
  <c r="I85" i="1"/>
  <c r="I88" i="1"/>
  <c r="I89" i="1"/>
  <c r="D2" i="2"/>
  <c r="A3" i="2"/>
  <c r="A4" i="2"/>
  <c r="A5" i="2"/>
  <c r="A6" i="2"/>
  <c r="A7" i="2"/>
  <c r="A8" i="2"/>
  <c r="A9" i="2"/>
  <c r="A10" i="2"/>
  <c r="A11" i="2"/>
  <c r="A12" i="2"/>
  <c r="C12" i="2" s="1"/>
  <c r="A13" i="2"/>
  <c r="C13" i="2" s="1"/>
  <c r="A14" i="2"/>
  <c r="C14" i="2" s="1"/>
  <c r="A15" i="2"/>
  <c r="C15" i="2" s="1"/>
  <c r="A16" i="2"/>
  <c r="A17" i="2"/>
  <c r="C17" i="2" s="1"/>
  <c r="A18" i="2"/>
  <c r="B18" i="2" s="1"/>
  <c r="A19" i="2"/>
  <c r="A20" i="2"/>
  <c r="A21" i="2"/>
  <c r="A22" i="2"/>
  <c r="A23" i="2"/>
  <c r="C23" i="2" s="1"/>
  <c r="A24" i="2"/>
  <c r="B24" i="2" s="1"/>
  <c r="A25" i="2"/>
  <c r="A26" i="2"/>
  <c r="A27" i="2"/>
  <c r="A28" i="2"/>
  <c r="A29" i="2"/>
  <c r="A30" i="2"/>
  <c r="A31" i="2"/>
  <c r="C31" i="2" s="1"/>
  <c r="A32" i="2"/>
  <c r="A33" i="2"/>
  <c r="A34" i="2"/>
  <c r="C34" i="2" s="1"/>
  <c r="A35" i="2"/>
  <c r="A36" i="2"/>
  <c r="A37" i="2"/>
  <c r="A38" i="2"/>
  <c r="B38" i="2" s="1"/>
  <c r="A39" i="2"/>
  <c r="C39" i="2" s="1"/>
  <c r="A40" i="2"/>
  <c r="B40" i="2" s="1"/>
  <c r="A41" i="2"/>
  <c r="A42" i="2"/>
  <c r="C42" i="2" s="1"/>
  <c r="A43" i="2"/>
  <c r="B43" i="2" s="1"/>
  <c r="A44" i="2"/>
  <c r="B44" i="2" s="1"/>
  <c r="A45" i="2"/>
  <c r="C45" i="2" s="1"/>
  <c r="A46" i="2"/>
  <c r="C46" i="2" s="1"/>
  <c r="A47" i="2"/>
  <c r="C47" i="2" s="1"/>
  <c r="A48" i="2"/>
  <c r="A49" i="2"/>
  <c r="A50" i="2"/>
  <c r="C50" i="2" s="1"/>
  <c r="A51" i="2"/>
  <c r="A52" i="2"/>
  <c r="A53" i="2"/>
  <c r="A54" i="2"/>
  <c r="A55" i="2"/>
  <c r="A56" i="2"/>
  <c r="A57" i="2"/>
  <c r="A58" i="2"/>
  <c r="A59" i="2"/>
  <c r="A60" i="2"/>
  <c r="A61" i="2"/>
  <c r="B61" i="2" s="1"/>
  <c r="A62" i="2"/>
  <c r="B62" i="2" s="1"/>
  <c r="A63" i="2"/>
  <c r="B63" i="2" s="1"/>
  <c r="A64" i="2"/>
  <c r="C64" i="2" s="1"/>
  <c r="A65" i="2"/>
  <c r="C65" i="2" s="1"/>
  <c r="A66" i="2"/>
  <c r="C66" i="2" s="1"/>
  <c r="A67" i="2"/>
  <c r="A68" i="2"/>
  <c r="A69" i="2"/>
  <c r="A70" i="2"/>
  <c r="A71" i="2"/>
  <c r="B71" i="2" s="1"/>
  <c r="A72" i="2"/>
  <c r="B72" i="2" s="1"/>
  <c r="A73" i="2"/>
  <c r="A74" i="2"/>
  <c r="A75" i="2"/>
  <c r="B75" i="2" s="1"/>
  <c r="A76" i="2"/>
  <c r="B76" i="2" s="1"/>
  <c r="A77" i="2"/>
  <c r="B77" i="2" s="1"/>
  <c r="A78" i="2"/>
  <c r="B78" i="2" s="1"/>
  <c r="A79" i="2"/>
  <c r="B79" i="2" s="1"/>
  <c r="A80" i="2"/>
  <c r="A81" i="2"/>
  <c r="A82" i="2"/>
  <c r="A83" i="2"/>
  <c r="A84" i="2"/>
  <c r="A85" i="2"/>
  <c r="A86" i="2"/>
  <c r="A87" i="2"/>
  <c r="A88" i="2"/>
  <c r="A89" i="2"/>
  <c r="A90" i="2"/>
  <c r="B90" i="2" s="1"/>
  <c r="A91" i="2"/>
  <c r="C91" i="2" s="1"/>
  <c r="A92" i="2"/>
  <c r="B92" i="2" s="1"/>
  <c r="A93" i="2"/>
  <c r="B93" i="2" s="1"/>
  <c r="A94" i="2"/>
  <c r="A95" i="2"/>
  <c r="B95" i="2" s="1"/>
  <c r="A96" i="2"/>
  <c r="C96" i="2" s="1"/>
  <c r="A97" i="2"/>
  <c r="A98" i="2"/>
  <c r="A99" i="2"/>
  <c r="A100" i="2"/>
  <c r="A101" i="2"/>
  <c r="A102" i="2"/>
  <c r="A103" i="2"/>
  <c r="A104" i="2"/>
  <c r="A105" i="2"/>
  <c r="A106" i="2"/>
  <c r="B106" i="2" s="1"/>
  <c r="A107" i="2"/>
  <c r="A108" i="2"/>
  <c r="B108" i="2" s="1"/>
  <c r="A109" i="2"/>
  <c r="B109" i="2" s="1"/>
  <c r="A110" i="2"/>
  <c r="B110" i="2" s="1"/>
  <c r="A111" i="2"/>
  <c r="B111" i="2" s="1"/>
  <c r="A112" i="2"/>
  <c r="A113" i="2"/>
  <c r="A114" i="2"/>
  <c r="A115" i="2"/>
  <c r="A116" i="2"/>
  <c r="A117" i="2"/>
  <c r="A118" i="2"/>
  <c r="B118" i="2" s="1"/>
  <c r="A119" i="2"/>
  <c r="C119" i="2" s="1"/>
  <c r="A120" i="2"/>
  <c r="B120" i="2" s="1"/>
  <c r="A121" i="2"/>
  <c r="A122" i="2"/>
  <c r="C122" i="2" s="1"/>
  <c r="A123" i="2"/>
  <c r="B123" i="2" s="1"/>
  <c r="A124" i="2"/>
  <c r="B124" i="2" s="1"/>
  <c r="A125" i="2"/>
  <c r="B125" i="2" s="1"/>
  <c r="A126" i="2"/>
  <c r="A127" i="2"/>
  <c r="B127" i="2" s="1"/>
  <c r="A128" i="2"/>
  <c r="A129" i="2"/>
  <c r="A130" i="2"/>
  <c r="C130" i="2" s="1"/>
  <c r="A131" i="2"/>
  <c r="A132" i="2"/>
  <c r="A133" i="2"/>
  <c r="A134" i="2"/>
  <c r="A135" i="2"/>
  <c r="A136" i="2"/>
  <c r="A137" i="2"/>
  <c r="A138" i="2"/>
  <c r="B138" i="2" s="1"/>
  <c r="A139" i="2"/>
  <c r="B139" i="2" s="1"/>
  <c r="A140" i="2"/>
  <c r="B140" i="2" s="1"/>
  <c r="A141" i="2"/>
  <c r="B141" i="2" s="1"/>
  <c r="A142" i="2"/>
  <c r="A143" i="2"/>
  <c r="B143" i="2" s="1"/>
  <c r="A144" i="2"/>
  <c r="C144" i="2" s="1"/>
  <c r="A145" i="2"/>
  <c r="A146" i="2"/>
  <c r="A147" i="2"/>
  <c r="A148" i="2"/>
  <c r="A149" i="2"/>
  <c r="A150" i="2"/>
  <c r="A151" i="2"/>
  <c r="A152" i="2"/>
  <c r="C152" i="2" s="1"/>
  <c r="A153" i="2"/>
  <c r="A154" i="2"/>
  <c r="A155" i="2"/>
  <c r="A156" i="2"/>
  <c r="A157" i="2"/>
  <c r="A158" i="2"/>
  <c r="A159" i="2"/>
  <c r="A160" i="2"/>
  <c r="A161" i="2"/>
  <c r="A162" i="2"/>
  <c r="A163" i="2"/>
  <c r="A164" i="2"/>
  <c r="A165" i="2"/>
  <c r="A166" i="2"/>
  <c r="C166" i="2" s="1"/>
  <c r="A167" i="2"/>
  <c r="C167" i="2" s="1"/>
  <c r="A168" i="2"/>
  <c r="B168" i="2" s="1"/>
  <c r="A169" i="2"/>
  <c r="A170" i="2"/>
  <c r="B170" i="2" s="1"/>
  <c r="A171" i="2"/>
  <c r="C171" i="2" s="1"/>
  <c r="A172" i="2"/>
  <c r="B172" i="2" s="1"/>
  <c r="A173" i="2"/>
  <c r="B173" i="2" s="1"/>
  <c r="A174" i="2"/>
  <c r="C174" i="2" s="1"/>
  <c r="A175" i="2"/>
  <c r="B175" i="2" s="1"/>
  <c r="A176" i="2"/>
  <c r="A177" i="2"/>
  <c r="A178" i="2"/>
  <c r="A179" i="2"/>
  <c r="A180" i="2"/>
  <c r="A181" i="2"/>
  <c r="A182" i="2"/>
  <c r="B182" i="2" s="1"/>
  <c r="A183" i="2"/>
  <c r="B183" i="2" s="1"/>
  <c r="A184" i="2"/>
  <c r="A185" i="2"/>
  <c r="A186" i="2"/>
  <c r="A187" i="2"/>
  <c r="C187" i="2" s="1"/>
  <c r="A188" i="2"/>
  <c r="B188" i="2" s="1"/>
  <c r="A189" i="2"/>
  <c r="B189" i="2" s="1"/>
  <c r="A190" i="2"/>
  <c r="B190" i="2" s="1"/>
  <c r="A191" i="2"/>
  <c r="B191" i="2" s="1"/>
  <c r="A192" i="2"/>
  <c r="B192" i="2" s="1"/>
  <c r="A193" i="2"/>
  <c r="A194" i="2"/>
  <c r="C194" i="2" s="1"/>
  <c r="A195" i="2"/>
  <c r="A196" i="2"/>
  <c r="A197" i="2"/>
  <c r="A198" i="2"/>
  <c r="A199" i="2"/>
  <c r="A200" i="2"/>
  <c r="A201" i="2"/>
  <c r="A202" i="2"/>
  <c r="A203" i="2"/>
  <c r="A204" i="2"/>
  <c r="A205" i="2"/>
  <c r="B205" i="2" s="1"/>
  <c r="A206" i="2"/>
  <c r="B206" i="2" s="1"/>
  <c r="A207" i="2"/>
  <c r="B207" i="2" s="1"/>
  <c r="A208" i="2"/>
  <c r="C208" i="2" s="1"/>
  <c r="A209" i="2"/>
  <c r="C209" i="2" s="1"/>
  <c r="A210" i="2"/>
  <c r="B210" i="2" s="1"/>
  <c r="A211" i="2"/>
  <c r="A212" i="2"/>
  <c r="A213" i="2"/>
  <c r="A214" i="2"/>
  <c r="A215" i="2"/>
  <c r="A216" i="2"/>
  <c r="B216" i="2" s="1"/>
  <c r="A217" i="2"/>
  <c r="A218" i="2"/>
  <c r="A219" i="2"/>
  <c r="A220" i="2"/>
  <c r="A221" i="2"/>
  <c r="A222" i="2"/>
  <c r="A223" i="2"/>
  <c r="A224" i="2"/>
  <c r="A225" i="2"/>
  <c r="A226" i="2"/>
  <c r="A227" i="2"/>
  <c r="A228" i="2"/>
  <c r="A229" i="2"/>
  <c r="A230" i="2"/>
  <c r="B230" i="2" s="1"/>
  <c r="A231" i="2"/>
  <c r="B231" i="2" s="1"/>
  <c r="A232" i="2"/>
  <c r="B232" i="2" s="1"/>
  <c r="A233" i="2"/>
  <c r="A234" i="2"/>
  <c r="B234" i="2" s="1"/>
  <c r="A235" i="2"/>
  <c r="B235" i="2" s="1"/>
  <c r="A236" i="2"/>
  <c r="A237" i="2"/>
  <c r="B237" i="2" s="1"/>
  <c r="A238" i="2"/>
  <c r="B238" i="2" s="1"/>
  <c r="A239" i="2"/>
  <c r="B239" i="2" s="1"/>
  <c r="A240" i="2"/>
  <c r="A241" i="2"/>
  <c r="A242" i="2"/>
  <c r="A243" i="2"/>
  <c r="A244" i="2"/>
  <c r="A245" i="2"/>
  <c r="A246" i="2"/>
  <c r="A247" i="2"/>
  <c r="A248" i="2"/>
  <c r="A249" i="2"/>
  <c r="A250" i="2"/>
  <c r="A251" i="2"/>
  <c r="A252" i="2"/>
  <c r="B252" i="2" s="1"/>
  <c r="A253" i="2"/>
  <c r="B253" i="2" s="1"/>
  <c r="A254" i="2"/>
  <c r="B254" i="2" s="1"/>
  <c r="A255" i="2"/>
  <c r="B255" i="2" s="1"/>
  <c r="A256" i="2"/>
  <c r="B256" i="2" s="1"/>
  <c r="A257" i="2"/>
  <c r="C257" i="2" s="1"/>
  <c r="A258" i="2"/>
  <c r="B258" i="2" s="1"/>
  <c r="A259" i="2"/>
  <c r="A260" i="2"/>
  <c r="A261" i="2"/>
  <c r="A262" i="2"/>
  <c r="A263" i="2"/>
  <c r="A264" i="2"/>
  <c r="A265" i="2"/>
  <c r="A266" i="2"/>
  <c r="A267" i="2"/>
  <c r="A268" i="2"/>
  <c r="A269" i="2"/>
  <c r="A270" i="2"/>
  <c r="C270" i="2" s="1"/>
  <c r="A271" i="2"/>
  <c r="B271" i="2" s="1"/>
  <c r="A272" i="2"/>
  <c r="A273" i="2"/>
  <c r="A274" i="2"/>
  <c r="C274" i="2" s="1"/>
  <c r="A275" i="2"/>
  <c r="A276" i="2"/>
  <c r="A277" i="2"/>
  <c r="A278" i="2"/>
  <c r="A279" i="2"/>
  <c r="B279" i="2" s="1"/>
  <c r="A280" i="2"/>
  <c r="C280" i="2" s="1"/>
  <c r="A281" i="2"/>
  <c r="A282" i="2"/>
  <c r="B282" i="2" s="1"/>
  <c r="A283" i="2"/>
  <c r="C283" i="2" s="1"/>
  <c r="A284" i="2"/>
  <c r="B284" i="2" s="1"/>
  <c r="A285" i="2"/>
  <c r="B285" i="2" s="1"/>
  <c r="A286" i="2"/>
  <c r="C286" i="2" s="1"/>
  <c r="A287" i="2"/>
  <c r="B287" i="2" s="1"/>
  <c r="A288" i="2"/>
  <c r="A289" i="2"/>
  <c r="A290" i="2"/>
  <c r="C290" i="2" s="1"/>
  <c r="A291" i="2"/>
  <c r="A292" i="2"/>
  <c r="A293" i="2"/>
  <c r="A294" i="2"/>
  <c r="A295" i="2"/>
  <c r="A296" i="2"/>
  <c r="A297" i="2"/>
  <c r="A298" i="2"/>
  <c r="A299" i="2"/>
  <c r="A300" i="2"/>
  <c r="B300" i="2" s="1"/>
  <c r="A301" i="2"/>
  <c r="A302" i="2"/>
  <c r="B302" i="2" s="1"/>
  <c r="A303" i="2"/>
  <c r="B303" i="2" s="1"/>
  <c r="A304" i="2"/>
  <c r="A305" i="2"/>
  <c r="A306" i="2"/>
  <c r="A307" i="2"/>
  <c r="A308" i="2"/>
  <c r="A309" i="2"/>
  <c r="A310" i="2"/>
  <c r="A311" i="2"/>
  <c r="C311" i="2" s="1"/>
  <c r="A312" i="2"/>
  <c r="B312" i="2" s="1"/>
  <c r="A2" i="2"/>
  <c r="C4" i="2"/>
  <c r="C5" i="2"/>
  <c r="B6" i="2"/>
  <c r="B7" i="2"/>
  <c r="C8" i="2"/>
  <c r="B11" i="2"/>
  <c r="B20" i="2"/>
  <c r="C21" i="2"/>
  <c r="C22" i="2"/>
  <c r="B26" i="2"/>
  <c r="B27" i="2"/>
  <c r="B28" i="2"/>
  <c r="C29" i="2"/>
  <c r="C30" i="2"/>
  <c r="B32" i="2"/>
  <c r="C33" i="2"/>
  <c r="C37" i="2"/>
  <c r="B49" i="2"/>
  <c r="C52" i="2"/>
  <c r="C54" i="2"/>
  <c r="C55" i="2"/>
  <c r="B56" i="2"/>
  <c r="B58" i="2"/>
  <c r="C59" i="2"/>
  <c r="B60" i="2"/>
  <c r="B81" i="2"/>
  <c r="B86" i="2"/>
  <c r="B87" i="2"/>
  <c r="B88" i="2"/>
  <c r="C97" i="2"/>
  <c r="C100" i="2"/>
  <c r="C101" i="2"/>
  <c r="B102" i="2"/>
  <c r="C103" i="2"/>
  <c r="B104" i="2"/>
  <c r="C107" i="2"/>
  <c r="C112" i="2"/>
  <c r="C113" i="2"/>
  <c r="C116" i="2"/>
  <c r="C117" i="2"/>
  <c r="C128" i="2"/>
  <c r="C129" i="2"/>
  <c r="C134" i="2"/>
  <c r="B135" i="2"/>
  <c r="C136" i="2"/>
  <c r="C145" i="2"/>
  <c r="B150" i="2"/>
  <c r="B151" i="2"/>
  <c r="B154" i="2"/>
  <c r="B155" i="2"/>
  <c r="B156" i="2"/>
  <c r="B157" i="2"/>
  <c r="C158" i="2"/>
  <c r="B159" i="2"/>
  <c r="C160" i="2"/>
  <c r="C161" i="2"/>
  <c r="C165" i="2"/>
  <c r="B176" i="2"/>
  <c r="C177" i="2"/>
  <c r="B184" i="2"/>
  <c r="B186" i="2"/>
  <c r="C193" i="2"/>
  <c r="C196" i="2"/>
  <c r="B197" i="2"/>
  <c r="C198" i="2"/>
  <c r="B199" i="2"/>
  <c r="C200" i="2"/>
  <c r="C202" i="2"/>
  <c r="B203" i="2"/>
  <c r="B204" i="2"/>
  <c r="C212" i="2"/>
  <c r="B213" i="2"/>
  <c r="B214" i="2"/>
  <c r="B215" i="2"/>
  <c r="B218" i="2"/>
  <c r="B219" i="2"/>
  <c r="B220" i="2"/>
  <c r="B221" i="2"/>
  <c r="C222" i="2"/>
  <c r="B223" i="2"/>
  <c r="C225" i="2"/>
  <c r="C228" i="2"/>
  <c r="B229" i="2"/>
  <c r="C245" i="2"/>
  <c r="C246" i="2"/>
  <c r="B247" i="2"/>
  <c r="B248" i="2"/>
  <c r="C250" i="2"/>
  <c r="B251" i="2"/>
  <c r="B260" i="2"/>
  <c r="C261" i="2"/>
  <c r="C262" i="2"/>
  <c r="B263" i="2"/>
  <c r="B264" i="2"/>
  <c r="C272" i="2"/>
  <c r="C273" i="2"/>
  <c r="B278" i="2"/>
  <c r="B288" i="2"/>
  <c r="C289" i="2"/>
  <c r="C294" i="2"/>
  <c r="B295" i="2"/>
  <c r="B296" i="2"/>
  <c r="C298" i="2"/>
  <c r="C299" i="2"/>
  <c r="B301" i="2"/>
  <c r="B304" i="2"/>
  <c r="C305" i="2"/>
  <c r="B308" i="2"/>
  <c r="B309" i="2"/>
  <c r="C10" i="2"/>
  <c r="C53" i="2"/>
  <c r="C70" i="2"/>
  <c r="B74" i="2"/>
  <c r="C148" i="2"/>
  <c r="B149" i="2"/>
  <c r="B241" i="2"/>
  <c r="B292" i="2"/>
  <c r="C293" i="2"/>
  <c r="B310" i="2"/>
  <c r="I2" i="2"/>
  <c r="B3" i="2"/>
  <c r="C16" i="2"/>
  <c r="B19" i="2"/>
  <c r="C35" i="2"/>
  <c r="B36" i="2"/>
  <c r="B48" i="2"/>
  <c r="C51" i="2"/>
  <c r="B67" i="2"/>
  <c r="B68" i="2"/>
  <c r="C69" i="2"/>
  <c r="B80" i="2"/>
  <c r="B82" i="2"/>
  <c r="B83" i="2"/>
  <c r="B84" i="2"/>
  <c r="B85" i="2"/>
  <c r="C98" i="2"/>
  <c r="B99" i="2"/>
  <c r="C114" i="2"/>
  <c r="B115" i="2"/>
  <c r="B131" i="2"/>
  <c r="C132" i="2"/>
  <c r="C133" i="2"/>
  <c r="B146" i="2"/>
  <c r="B147" i="2"/>
  <c r="C162" i="2"/>
  <c r="B163" i="2"/>
  <c r="B164" i="2"/>
  <c r="C178" i="2"/>
  <c r="B179" i="2"/>
  <c r="C180" i="2"/>
  <c r="B181" i="2"/>
  <c r="B195" i="2"/>
  <c r="B196" i="2"/>
  <c r="B211" i="2"/>
  <c r="C224" i="2"/>
  <c r="B227" i="2"/>
  <c r="B240" i="2"/>
  <c r="C242" i="2"/>
  <c r="B243" i="2"/>
  <c r="C244" i="2"/>
  <c r="B259" i="2"/>
  <c r="C266" i="2"/>
  <c r="C267" i="2"/>
  <c r="B268" i="2"/>
  <c r="B269" i="2"/>
  <c r="B275" i="2"/>
  <c r="C276" i="2"/>
  <c r="B277" i="2"/>
  <c r="B291" i="2"/>
  <c r="B307" i="2"/>
  <c r="B202" i="2"/>
  <c r="C226" i="2"/>
  <c r="C306" i="2"/>
  <c r="B2" i="2"/>
  <c r="B236" i="2"/>
  <c r="B57" i="2"/>
  <c r="C57" i="2"/>
  <c r="B73" i="2"/>
  <c r="C73" i="2"/>
  <c r="B89" i="2"/>
  <c r="C89" i="2"/>
  <c r="B101" i="2"/>
  <c r="B105" i="2"/>
  <c r="C105" i="2"/>
  <c r="B121" i="2"/>
  <c r="C121" i="2"/>
  <c r="B137" i="2"/>
  <c r="C137" i="2"/>
  <c r="B153" i="2"/>
  <c r="C153" i="2"/>
  <c r="B169" i="2"/>
  <c r="C169" i="2"/>
  <c r="B185" i="2"/>
  <c r="C185" i="2"/>
  <c r="B201" i="2"/>
  <c r="C201" i="2"/>
  <c r="B217" i="2"/>
  <c r="C217" i="2"/>
  <c r="B233" i="2"/>
  <c r="C233" i="2"/>
  <c r="B249" i="2"/>
  <c r="C249" i="2"/>
  <c r="B265" i="2"/>
  <c r="C265" i="2"/>
  <c r="B281" i="2"/>
  <c r="C281" i="2"/>
  <c r="B297" i="2"/>
  <c r="C297" i="2"/>
  <c r="C3" i="2"/>
  <c r="L83" i="1"/>
  <c r="M83" i="1" s="1"/>
  <c r="C9" i="2"/>
  <c r="C25" i="2"/>
  <c r="C41" i="2"/>
  <c r="B9" i="2"/>
  <c r="B25" i="2"/>
  <c r="B41" i="2"/>
  <c r="B51" i="2"/>
  <c r="D51" i="2" s="1"/>
  <c r="F51" i="2" s="1"/>
  <c r="G51" i="2" s="1"/>
  <c r="L84" i="1"/>
  <c r="L85" i="1"/>
  <c r="M85" i="1" s="1"/>
  <c r="L86" i="1"/>
  <c r="L87" i="1"/>
  <c r="M87" i="1" s="1"/>
  <c r="L88" i="1"/>
  <c r="M88" i="1" s="1"/>
  <c r="L89" i="1"/>
  <c r="M89" i="1" s="1"/>
  <c r="L90" i="1"/>
  <c r="L91" i="1"/>
  <c r="M91" i="1" s="1"/>
  <c r="L92" i="1"/>
  <c r="L93" i="1"/>
  <c r="L94" i="1"/>
  <c r="L95" i="1"/>
  <c r="L96" i="1"/>
  <c r="L97" i="1"/>
  <c r="L98" i="1"/>
  <c r="L99" i="1"/>
  <c r="M99" i="1" s="1"/>
  <c r="L100" i="1"/>
  <c r="M100" i="1" s="1"/>
  <c r="L101" i="1"/>
  <c r="L102" i="1"/>
  <c r="L103" i="1"/>
  <c r="L104" i="1"/>
  <c r="L105" i="1"/>
  <c r="L106" i="1"/>
  <c r="L107" i="1"/>
  <c r="L108" i="1"/>
  <c r="L109" i="1"/>
  <c r="J84" i="1"/>
  <c r="J85" i="1"/>
  <c r="K85" i="1" s="1"/>
  <c r="J86" i="1"/>
  <c r="K86" i="1" s="1"/>
  <c r="J87" i="1"/>
  <c r="J88" i="1"/>
  <c r="K88" i="1" s="1"/>
  <c r="J89" i="1"/>
  <c r="K89" i="1" s="1"/>
  <c r="J90" i="1"/>
  <c r="J91" i="1"/>
  <c r="J92" i="1"/>
  <c r="J93" i="1"/>
  <c r="J94" i="1"/>
  <c r="J95" i="1"/>
  <c r="J96" i="1"/>
  <c r="J97" i="1"/>
  <c r="J98" i="1"/>
  <c r="J99" i="1"/>
  <c r="J100" i="1"/>
  <c r="J101" i="1"/>
  <c r="J102" i="1"/>
  <c r="J103" i="1"/>
  <c r="J104" i="1"/>
  <c r="J105" i="1"/>
  <c r="J106" i="1"/>
  <c r="J107" i="1"/>
  <c r="J108" i="1"/>
  <c r="J109" i="1"/>
  <c r="J83" i="1"/>
  <c r="G109" i="1"/>
  <c r="H109" i="1" s="1"/>
  <c r="E109" i="1"/>
  <c r="G108" i="1"/>
  <c r="H108" i="1" s="1"/>
  <c r="E108" i="1"/>
  <c r="G107" i="1"/>
  <c r="H107" i="1" s="1"/>
  <c r="E107" i="1"/>
  <c r="G105" i="1"/>
  <c r="H105" i="1" s="1"/>
  <c r="E105" i="1"/>
  <c r="G106" i="1"/>
  <c r="H106" i="1" s="1"/>
  <c r="E106" i="1"/>
  <c r="F106" i="1" s="1"/>
  <c r="G104" i="1"/>
  <c r="E104" i="1"/>
  <c r="G84" i="1"/>
  <c r="H84" i="1" s="1"/>
  <c r="G86" i="1"/>
  <c r="H86" i="1" s="1"/>
  <c r="F86" i="1" s="1"/>
  <c r="G90" i="1"/>
  <c r="H90" i="1" s="1"/>
  <c r="G92" i="1"/>
  <c r="H92" i="1" s="1"/>
  <c r="G93" i="1"/>
  <c r="H93" i="1" s="1"/>
  <c r="G94" i="1"/>
  <c r="G95" i="1"/>
  <c r="G96" i="1"/>
  <c r="G97" i="1"/>
  <c r="G98" i="1"/>
  <c r="G101" i="1"/>
  <c r="G102" i="1"/>
  <c r="H102" i="1" s="1"/>
  <c r="G103" i="1"/>
  <c r="H103" i="1" s="1"/>
  <c r="K81" i="1"/>
  <c r="E103" i="1"/>
  <c r="E101" i="1"/>
  <c r="E102" i="1"/>
  <c r="E100" i="1"/>
  <c r="E99" i="1"/>
  <c r="E98" i="1"/>
  <c r="E97" i="1"/>
  <c r="E96" i="1"/>
  <c r="E95" i="1"/>
  <c r="E94" i="1"/>
  <c r="E93" i="1"/>
  <c r="E92" i="1"/>
  <c r="E91" i="1"/>
  <c r="E90" i="1"/>
  <c r="E83" i="1"/>
  <c r="I83" i="1" s="1"/>
  <c r="E87" i="1"/>
  <c r="E84" i="1"/>
  <c r="D42" i="1"/>
  <c r="D43" i="1" s="1"/>
  <c r="E30" i="1"/>
  <c r="E31" i="1" s="1"/>
  <c r="E32" i="1" s="1"/>
  <c r="E33" i="1" s="1"/>
  <c r="E35" i="1" s="1"/>
  <c r="E37" i="1" s="1"/>
  <c r="I39" i="1" s="1"/>
  <c r="E25" i="3" l="1"/>
  <c r="P15" i="3" s="1"/>
  <c r="A16" i="3"/>
  <c r="Q16" i="3" s="1"/>
  <c r="D16" i="3"/>
  <c r="R16" i="3" s="1"/>
  <c r="D32" i="3"/>
  <c r="R14" i="3" s="1"/>
  <c r="E17" i="3"/>
  <c r="P16" i="3" s="1"/>
  <c r="A40" i="3"/>
  <c r="D48" i="3"/>
  <c r="A48" i="3"/>
  <c r="Q12" i="3" s="1"/>
  <c r="A32" i="3"/>
  <c r="D40" i="3"/>
  <c r="D8" i="3"/>
  <c r="E33" i="3"/>
  <c r="A8" i="3"/>
  <c r="I104" i="1"/>
  <c r="F92" i="1"/>
  <c r="I37" i="1"/>
  <c r="I35" i="1"/>
  <c r="I34" i="1"/>
  <c r="I33" i="1"/>
  <c r="K103" i="1"/>
  <c r="F105" i="1"/>
  <c r="K101" i="1"/>
  <c r="M101" i="1"/>
  <c r="I93" i="1"/>
  <c r="I97" i="1"/>
  <c r="I96" i="1"/>
  <c r="I109" i="1"/>
  <c r="F102" i="1"/>
  <c r="F103" i="1"/>
  <c r="I101" i="1"/>
  <c r="I94" i="1"/>
  <c r="I108" i="1"/>
  <c r="I106" i="1"/>
  <c r="I105" i="1"/>
  <c r="F109" i="1"/>
  <c r="M105" i="1"/>
  <c r="M104" i="1"/>
  <c r="K83" i="1"/>
  <c r="K105" i="1"/>
  <c r="K104" i="1"/>
  <c r="F107" i="1"/>
  <c r="I95" i="1"/>
  <c r="M109" i="1"/>
  <c r="M93" i="1"/>
  <c r="F108" i="1"/>
  <c r="M94" i="1"/>
  <c r="M108" i="1"/>
  <c r="M92" i="1"/>
  <c r="I98" i="1"/>
  <c r="F90" i="1"/>
  <c r="K93" i="1"/>
  <c r="F84" i="1"/>
  <c r="K108" i="1"/>
  <c r="K92" i="1"/>
  <c r="K100" i="1"/>
  <c r="K94" i="1"/>
  <c r="K109" i="1"/>
  <c r="K91" i="1"/>
  <c r="F93" i="1"/>
  <c r="K87" i="1"/>
  <c r="K97" i="1"/>
  <c r="M97" i="1"/>
  <c r="K96" i="1"/>
  <c r="M96" i="1"/>
  <c r="I92" i="1"/>
  <c r="K84" i="1"/>
  <c r="K95" i="1"/>
  <c r="M90" i="1"/>
  <c r="M95" i="1"/>
  <c r="I107" i="1"/>
  <c r="I91" i="1"/>
  <c r="I90" i="1"/>
  <c r="K107" i="1"/>
  <c r="M107" i="1"/>
  <c r="I103" i="1"/>
  <c r="I87" i="1"/>
  <c r="K106" i="1"/>
  <c r="K90" i="1"/>
  <c r="M106" i="1"/>
  <c r="I102" i="1"/>
  <c r="I86" i="1"/>
  <c r="I100" i="1"/>
  <c r="I84" i="1"/>
  <c r="M103" i="1"/>
  <c r="I99" i="1"/>
  <c r="K102" i="1"/>
  <c r="M86" i="1"/>
  <c r="K99" i="1"/>
  <c r="M84" i="1"/>
  <c r="K98" i="1"/>
  <c r="M102" i="1"/>
  <c r="M98" i="1"/>
  <c r="B42" i="2"/>
  <c r="D42" i="2" s="1"/>
  <c r="F42" i="2" s="1"/>
  <c r="G42" i="2" s="1"/>
  <c r="D9" i="2"/>
  <c r="F9" i="2" s="1"/>
  <c r="G9" i="2" s="1"/>
  <c r="D25" i="2"/>
  <c r="F25" i="2" s="1"/>
  <c r="G25" i="2" s="1"/>
  <c r="D89" i="2"/>
  <c r="F89" i="2" s="1"/>
  <c r="G89" i="2" s="1"/>
  <c r="D196" i="2"/>
  <c r="F196" i="2" s="1"/>
  <c r="G196" i="2" s="1"/>
  <c r="D297" i="2"/>
  <c r="F297" i="2" s="1"/>
  <c r="G297" i="2" s="1"/>
  <c r="D73" i="2"/>
  <c r="F73" i="2" s="1"/>
  <c r="G73" i="2" s="1"/>
  <c r="D249" i="2"/>
  <c r="F249" i="2" s="1"/>
  <c r="G249" i="2" s="1"/>
  <c r="D121" i="2"/>
  <c r="F121" i="2" s="1"/>
  <c r="G121" i="2" s="1"/>
  <c r="D137" i="2"/>
  <c r="F137" i="2" s="1"/>
  <c r="G137" i="2" s="1"/>
  <c r="D105" i="2"/>
  <c r="F105" i="2" s="1"/>
  <c r="G105" i="2" s="1"/>
  <c r="C90" i="2"/>
  <c r="C26" i="2"/>
  <c r="D265" i="2"/>
  <c r="F265" i="2" s="1"/>
  <c r="G265" i="2" s="1"/>
  <c r="D202" i="2"/>
  <c r="F202" i="2" s="1"/>
  <c r="G202" i="2" s="1"/>
  <c r="D101" i="2"/>
  <c r="F101" i="2" s="1"/>
  <c r="G101" i="2" s="1"/>
  <c r="D41" i="2"/>
  <c r="F41" i="2" s="1"/>
  <c r="G41" i="2" s="1"/>
  <c r="D201" i="2"/>
  <c r="F201" i="2" s="1"/>
  <c r="G201" i="2" s="1"/>
  <c r="D217" i="2"/>
  <c r="F217" i="2" s="1"/>
  <c r="G217" i="2" s="1"/>
  <c r="D57" i="2"/>
  <c r="F57" i="2" s="1"/>
  <c r="G57" i="2" s="1"/>
  <c r="D233" i="2"/>
  <c r="F233" i="2" s="1"/>
  <c r="G233" i="2" s="1"/>
  <c r="D3" i="2"/>
  <c r="F3" i="2" s="1"/>
  <c r="G3" i="2" s="1"/>
  <c r="D185" i="2"/>
  <c r="F185" i="2" s="1"/>
  <c r="G185" i="2" s="1"/>
  <c r="D169" i="2"/>
  <c r="F169" i="2" s="1"/>
  <c r="G169" i="2" s="1"/>
  <c r="D281" i="2"/>
  <c r="F281" i="2" s="1"/>
  <c r="G281" i="2" s="1"/>
  <c r="D153" i="2"/>
  <c r="F153" i="2" s="1"/>
  <c r="G153" i="2" s="1"/>
  <c r="B250" i="2"/>
  <c r="D250" i="2" s="1"/>
  <c r="F250" i="2" s="1"/>
  <c r="G250" i="2" s="1"/>
  <c r="B208" i="2"/>
  <c r="D208" i="2" s="1"/>
  <c r="F208" i="2" s="1"/>
  <c r="G208" i="2" s="1"/>
  <c r="C229" i="2"/>
  <c r="B298" i="2"/>
  <c r="D298" i="2" s="1"/>
  <c r="F298" i="2" s="1"/>
  <c r="G298" i="2" s="1"/>
  <c r="C256" i="2"/>
  <c r="B165" i="2"/>
  <c r="D165" i="2" s="1"/>
  <c r="F165" i="2" s="1"/>
  <c r="G165" i="2" s="1"/>
  <c r="C218" i="2"/>
  <c r="C240" i="2"/>
  <c r="B128" i="2"/>
  <c r="D128" i="2" s="1"/>
  <c r="F128" i="2" s="1"/>
  <c r="G128" i="2" s="1"/>
  <c r="C19" i="2"/>
  <c r="B144" i="2"/>
  <c r="D144" i="2" s="1"/>
  <c r="F144" i="2" s="1"/>
  <c r="G144" i="2" s="1"/>
  <c r="B129" i="2"/>
  <c r="D129" i="2" s="1"/>
  <c r="F129" i="2" s="1"/>
  <c r="G129" i="2" s="1"/>
  <c r="B4" i="2"/>
  <c r="D4" i="2" s="1"/>
  <c r="F4" i="2" s="1"/>
  <c r="G4" i="2" s="1"/>
  <c r="C292" i="2"/>
  <c r="B112" i="2"/>
  <c r="D112" i="2" s="1"/>
  <c r="F112" i="2" s="1"/>
  <c r="G112" i="2" s="1"/>
  <c r="C84" i="2"/>
  <c r="C68" i="2"/>
  <c r="B96" i="2"/>
  <c r="D96" i="2" s="1"/>
  <c r="F96" i="2" s="1"/>
  <c r="G96" i="2" s="1"/>
  <c r="C288" i="2"/>
  <c r="C48" i="2"/>
  <c r="C164" i="2"/>
  <c r="D164" i="2" s="1"/>
  <c r="F164" i="2" s="1"/>
  <c r="G164" i="2" s="1"/>
  <c r="B100" i="2"/>
  <c r="D100" i="2" s="1"/>
  <c r="F100" i="2" s="1"/>
  <c r="G100" i="2" s="1"/>
  <c r="B35" i="2"/>
  <c r="D35" i="2" s="1"/>
  <c r="F35" i="2" s="1"/>
  <c r="G35" i="2" s="1"/>
  <c r="B228" i="2"/>
  <c r="D228" i="2" s="1"/>
  <c r="F228" i="2" s="1"/>
  <c r="G228" i="2" s="1"/>
  <c r="B272" i="2"/>
  <c r="D272" i="2" s="1"/>
  <c r="F272" i="2" s="1"/>
  <c r="G272" i="2" s="1"/>
  <c r="C176" i="2"/>
  <c r="C197" i="2"/>
  <c r="D197" i="2" s="1"/>
  <c r="F197" i="2" s="1"/>
  <c r="G197" i="2" s="1"/>
  <c r="C32" i="2"/>
  <c r="C234" i="2"/>
  <c r="B69" i="2"/>
  <c r="D69" i="2" s="1"/>
  <c r="F69" i="2" s="1"/>
  <c r="G69" i="2" s="1"/>
  <c r="C181" i="2"/>
  <c r="C49" i="2"/>
  <c r="C310" i="2"/>
  <c r="B17" i="2"/>
  <c r="D17" i="2" s="1"/>
  <c r="F17" i="2" s="1"/>
  <c r="G17" i="2" s="1"/>
  <c r="B133" i="2"/>
  <c r="D133" i="2" s="1"/>
  <c r="F133" i="2" s="1"/>
  <c r="G133" i="2" s="1"/>
  <c r="B16" i="2"/>
  <c r="D16" i="2" s="1"/>
  <c r="F16" i="2" s="1"/>
  <c r="G16" i="2" s="1"/>
  <c r="C260" i="2"/>
  <c r="B132" i="2"/>
  <c r="D132" i="2" s="1"/>
  <c r="F132" i="2" s="1"/>
  <c r="G132" i="2" s="1"/>
  <c r="B97" i="2"/>
  <c r="D97" i="2" s="1"/>
  <c r="F97" i="2" s="1"/>
  <c r="G97" i="2" s="1"/>
  <c r="B224" i="2"/>
  <c r="D224" i="2" s="1"/>
  <c r="F224" i="2" s="1"/>
  <c r="G224" i="2" s="1"/>
  <c r="B10" i="2"/>
  <c r="D10" i="2" s="1"/>
  <c r="F10" i="2" s="1"/>
  <c r="G10" i="2" s="1"/>
  <c r="C170" i="2"/>
  <c r="B261" i="2"/>
  <c r="D261" i="2" s="1"/>
  <c r="F261" i="2" s="1"/>
  <c r="G261" i="2" s="1"/>
  <c r="B134" i="2"/>
  <c r="D134" i="2" s="1"/>
  <c r="F134" i="2" s="1"/>
  <c r="G134" i="2" s="1"/>
  <c r="C20" i="2"/>
  <c r="B293" i="2"/>
  <c r="D293" i="2" s="1"/>
  <c r="F293" i="2" s="1"/>
  <c r="G293" i="2" s="1"/>
  <c r="B245" i="2"/>
  <c r="D245" i="2" s="1"/>
  <c r="F245" i="2" s="1"/>
  <c r="G245" i="2" s="1"/>
  <c r="B311" i="2"/>
  <c r="D311" i="2" s="1"/>
  <c r="F311" i="2" s="1"/>
  <c r="G311" i="2" s="1"/>
  <c r="B294" i="2"/>
  <c r="D294" i="2" s="1"/>
  <c r="F294" i="2" s="1"/>
  <c r="G294" i="2" s="1"/>
  <c r="B52" i="2"/>
  <c r="D52" i="2" s="1"/>
  <c r="F52" i="2" s="1"/>
  <c r="G52" i="2" s="1"/>
  <c r="C309" i="2"/>
  <c r="C277" i="2"/>
  <c r="B193" i="2"/>
  <c r="D193" i="2" s="1"/>
  <c r="F193" i="2" s="1"/>
  <c r="G193" i="2" s="1"/>
  <c r="B117" i="2"/>
  <c r="D117" i="2" s="1"/>
  <c r="F117" i="2" s="1"/>
  <c r="G117" i="2" s="1"/>
  <c r="C149" i="2"/>
  <c r="C308" i="2"/>
  <c r="B276" i="2"/>
  <c r="D276" i="2" s="1"/>
  <c r="F276" i="2" s="1"/>
  <c r="G276" i="2" s="1"/>
  <c r="B244" i="2"/>
  <c r="D244" i="2" s="1"/>
  <c r="F244" i="2" s="1"/>
  <c r="G244" i="2" s="1"/>
  <c r="C213" i="2"/>
  <c r="C85" i="2"/>
  <c r="B148" i="2"/>
  <c r="D148" i="2" s="1"/>
  <c r="F148" i="2" s="1"/>
  <c r="G148" i="2" s="1"/>
  <c r="B305" i="2"/>
  <c r="D305" i="2" s="1"/>
  <c r="F305" i="2" s="1"/>
  <c r="G305" i="2" s="1"/>
  <c r="B212" i="2"/>
  <c r="D212" i="2" s="1"/>
  <c r="F212" i="2" s="1"/>
  <c r="G212" i="2" s="1"/>
  <c r="B180" i="2"/>
  <c r="D180" i="2" s="1"/>
  <c r="F180" i="2" s="1"/>
  <c r="G180" i="2" s="1"/>
  <c r="B116" i="2"/>
  <c r="D116" i="2" s="1"/>
  <c r="F116" i="2" s="1"/>
  <c r="G116" i="2" s="1"/>
  <c r="C151" i="2"/>
  <c r="B37" i="2"/>
  <c r="D37" i="2" s="1"/>
  <c r="F37" i="2" s="1"/>
  <c r="G37" i="2" s="1"/>
  <c r="C36" i="2"/>
  <c r="D36" i="2" s="1"/>
  <c r="F36" i="2" s="1"/>
  <c r="G36" i="2" s="1"/>
  <c r="C241" i="2"/>
  <c r="C138" i="2"/>
  <c r="B145" i="2"/>
  <c r="D145" i="2" s="1"/>
  <c r="F145" i="2" s="1"/>
  <c r="G145" i="2" s="1"/>
  <c r="B160" i="2"/>
  <c r="D160" i="2" s="1"/>
  <c r="F160" i="2" s="1"/>
  <c r="G160" i="2" s="1"/>
  <c r="B161" i="2"/>
  <c r="D161" i="2" s="1"/>
  <c r="F161" i="2" s="1"/>
  <c r="G161" i="2" s="1"/>
  <c r="C75" i="2"/>
  <c r="B289" i="2"/>
  <c r="D289" i="2" s="1"/>
  <c r="F289" i="2" s="1"/>
  <c r="G289" i="2" s="1"/>
  <c r="C6" i="2"/>
  <c r="B50" i="2"/>
  <c r="D50" i="2" s="1"/>
  <c r="F50" i="2" s="1"/>
  <c r="G50" i="2" s="1"/>
  <c r="B22" i="2"/>
  <c r="D22" i="2" s="1"/>
  <c r="F22" i="2" s="1"/>
  <c r="G22" i="2" s="1"/>
  <c r="C7" i="2"/>
  <c r="B70" i="2"/>
  <c r="D70" i="2" s="1"/>
  <c r="F70" i="2" s="1"/>
  <c r="G70" i="2" s="1"/>
  <c r="B103" i="2"/>
  <c r="D103" i="2" s="1"/>
  <c r="F103" i="2" s="1"/>
  <c r="G103" i="2" s="1"/>
  <c r="B299" i="2"/>
  <c r="D299" i="2" s="1"/>
  <c r="F299" i="2" s="1"/>
  <c r="G299" i="2" s="1"/>
  <c r="B267" i="2"/>
  <c r="D267" i="2" s="1"/>
  <c r="F267" i="2" s="1"/>
  <c r="G267" i="2" s="1"/>
  <c r="C304" i="2"/>
  <c r="C192" i="2"/>
  <c r="C154" i="2"/>
  <c r="C74" i="2"/>
  <c r="C203" i="2"/>
  <c r="C235" i="2"/>
  <c r="D235" i="2" s="1"/>
  <c r="F235" i="2" s="1"/>
  <c r="G235" i="2" s="1"/>
  <c r="C82" i="2"/>
  <c r="C210" i="2"/>
  <c r="B257" i="2"/>
  <c r="D257" i="2" s="1"/>
  <c r="F257" i="2" s="1"/>
  <c r="G257" i="2" s="1"/>
  <c r="B209" i="2"/>
  <c r="D209" i="2" s="1"/>
  <c r="F209" i="2" s="1"/>
  <c r="G209" i="2" s="1"/>
  <c r="B113" i="2"/>
  <c r="D113" i="2" s="1"/>
  <c r="F113" i="2" s="1"/>
  <c r="G113" i="2" s="1"/>
  <c r="B65" i="2"/>
  <c r="D65" i="2" s="1"/>
  <c r="F65" i="2" s="1"/>
  <c r="G65" i="2" s="1"/>
  <c r="B107" i="2"/>
  <c r="D107" i="2" s="1"/>
  <c r="F107" i="2" s="1"/>
  <c r="G107" i="2" s="1"/>
  <c r="C258" i="2"/>
  <c r="B33" i="2"/>
  <c r="D33" i="2" s="1"/>
  <c r="F33" i="2" s="1"/>
  <c r="G33" i="2" s="1"/>
  <c r="B273" i="2"/>
  <c r="D273" i="2" s="1"/>
  <c r="F273" i="2" s="1"/>
  <c r="G273" i="2" s="1"/>
  <c r="B177" i="2"/>
  <c r="D177" i="2" s="1"/>
  <c r="F177" i="2" s="1"/>
  <c r="G177" i="2" s="1"/>
  <c r="B64" i="2"/>
  <c r="D64" i="2" s="1"/>
  <c r="F64" i="2" s="1"/>
  <c r="G64" i="2" s="1"/>
  <c r="B225" i="2"/>
  <c r="D225" i="2" s="1"/>
  <c r="F225" i="2" s="1"/>
  <c r="G225" i="2" s="1"/>
  <c r="C81" i="2"/>
  <c r="C2" i="2"/>
  <c r="B54" i="2"/>
  <c r="D54" i="2" s="1"/>
  <c r="F54" i="2" s="1"/>
  <c r="G54" i="2" s="1"/>
  <c r="B262" i="2"/>
  <c r="D262" i="2" s="1"/>
  <c r="F262" i="2" s="1"/>
  <c r="G262" i="2" s="1"/>
  <c r="B246" i="2"/>
  <c r="D246" i="2" s="1"/>
  <c r="F246" i="2" s="1"/>
  <c r="G246" i="2" s="1"/>
  <c r="B53" i="2"/>
  <c r="D53" i="2" s="1"/>
  <c r="F53" i="2" s="1"/>
  <c r="G53" i="2" s="1"/>
  <c r="B21" i="2"/>
  <c r="D21" i="2" s="1"/>
  <c r="F21" i="2" s="1"/>
  <c r="G21" i="2" s="1"/>
  <c r="C102" i="2"/>
  <c r="B122" i="2"/>
  <c r="D122" i="2" s="1"/>
  <c r="F122" i="2" s="1"/>
  <c r="G122" i="2" s="1"/>
  <c r="C182" i="2"/>
  <c r="C146" i="2"/>
  <c r="B274" i="2"/>
  <c r="D274" i="2" s="1"/>
  <c r="F274" i="2" s="1"/>
  <c r="G274" i="2" s="1"/>
  <c r="B171" i="2"/>
  <c r="D171" i="2" s="1"/>
  <c r="F171" i="2" s="1"/>
  <c r="G171" i="2" s="1"/>
  <c r="C106" i="2"/>
  <c r="B194" i="2"/>
  <c r="D194" i="2" s="1"/>
  <c r="F194" i="2" s="1"/>
  <c r="G194" i="2" s="1"/>
  <c r="B187" i="2"/>
  <c r="D187" i="2" s="1"/>
  <c r="F187" i="2" s="1"/>
  <c r="G187" i="2" s="1"/>
  <c r="B266" i="2"/>
  <c r="D266" i="2" s="1"/>
  <c r="F266" i="2" s="1"/>
  <c r="G266" i="2" s="1"/>
  <c r="B66" i="2"/>
  <c r="D66" i="2" s="1"/>
  <c r="F66" i="2" s="1"/>
  <c r="G66" i="2" s="1"/>
  <c r="C215" i="2"/>
  <c r="C155" i="2"/>
  <c r="B136" i="2"/>
  <c r="D136" i="2" s="1"/>
  <c r="F136" i="2" s="1"/>
  <c r="G136" i="2" s="1"/>
  <c r="C183" i="2"/>
  <c r="B152" i="2"/>
  <c r="D152" i="2" s="1"/>
  <c r="F152" i="2" s="1"/>
  <c r="G152" i="2" s="1"/>
  <c r="B55" i="2"/>
  <c r="D55" i="2" s="1"/>
  <c r="F55" i="2" s="1"/>
  <c r="G55" i="2" s="1"/>
  <c r="C139" i="2"/>
  <c r="C72" i="2"/>
  <c r="C238" i="2"/>
  <c r="C219" i="2"/>
  <c r="D219" i="2" s="1"/>
  <c r="F219" i="2" s="1"/>
  <c r="G219" i="2" s="1"/>
  <c r="B91" i="2"/>
  <c r="D91" i="2" s="1"/>
  <c r="F91" i="2" s="1"/>
  <c r="G91" i="2" s="1"/>
  <c r="B39" i="2"/>
  <c r="D39" i="2" s="1"/>
  <c r="F39" i="2" s="1"/>
  <c r="G39" i="2" s="1"/>
  <c r="B34" i="2"/>
  <c r="D34" i="2" s="1"/>
  <c r="F34" i="2" s="1"/>
  <c r="G34" i="2" s="1"/>
  <c r="C264" i="2"/>
  <c r="C247" i="2"/>
  <c r="C123" i="2"/>
  <c r="D123" i="2" s="1"/>
  <c r="F123" i="2" s="1"/>
  <c r="G123" i="2" s="1"/>
  <c r="C302" i="2"/>
  <c r="B200" i="2"/>
  <c r="D200" i="2" s="1"/>
  <c r="F200" i="2" s="1"/>
  <c r="G200" i="2" s="1"/>
  <c r="B174" i="2"/>
  <c r="D174" i="2" s="1"/>
  <c r="F174" i="2" s="1"/>
  <c r="G174" i="2" s="1"/>
  <c r="C87" i="2"/>
  <c r="C24" i="2"/>
  <c r="B23" i="2"/>
  <c r="D23" i="2" s="1"/>
  <c r="F23" i="2" s="1"/>
  <c r="G23" i="2" s="1"/>
  <c r="B280" i="2"/>
  <c r="D280" i="2" s="1"/>
  <c r="F280" i="2" s="1"/>
  <c r="G280" i="2" s="1"/>
  <c r="C251" i="2"/>
  <c r="B198" i="2"/>
  <c r="D198" i="2" s="1"/>
  <c r="F198" i="2" s="1"/>
  <c r="G198" i="2" s="1"/>
  <c r="B130" i="2"/>
  <c r="D130" i="2" s="1"/>
  <c r="F130" i="2" s="1"/>
  <c r="G130" i="2" s="1"/>
  <c r="C88" i="2"/>
  <c r="B59" i="2"/>
  <c r="D59" i="2" s="1"/>
  <c r="F59" i="2" s="1"/>
  <c r="G59" i="2" s="1"/>
  <c r="C18" i="2"/>
  <c r="D18" i="2" s="1"/>
  <c r="F18" i="2" s="1"/>
  <c r="G18" i="2" s="1"/>
  <c r="C279" i="2"/>
  <c r="C231" i="2"/>
  <c r="B167" i="2"/>
  <c r="D167" i="2" s="1"/>
  <c r="F167" i="2" s="1"/>
  <c r="G167" i="2" s="1"/>
  <c r="C295" i="2"/>
  <c r="C38" i="2"/>
  <c r="B166" i="2"/>
  <c r="D166" i="2" s="1"/>
  <c r="F166" i="2" s="1"/>
  <c r="G166" i="2" s="1"/>
  <c r="C216" i="2"/>
  <c r="C40" i="2"/>
  <c r="B119" i="2"/>
  <c r="D119" i="2" s="1"/>
  <c r="F119" i="2" s="1"/>
  <c r="G119" i="2" s="1"/>
  <c r="C58" i="2"/>
  <c r="B283" i="2"/>
  <c r="D283" i="2" s="1"/>
  <c r="F283" i="2" s="1"/>
  <c r="G283" i="2" s="1"/>
  <c r="C282" i="2"/>
  <c r="C230" i="2"/>
  <c r="C186" i="2"/>
  <c r="C118" i="2"/>
  <c r="C94" i="2"/>
  <c r="B94" i="2"/>
  <c r="D94" i="2" s="1"/>
  <c r="F94" i="2" s="1"/>
  <c r="G94" i="2" s="1"/>
  <c r="C110" i="2"/>
  <c r="B126" i="2"/>
  <c r="C126" i="2"/>
  <c r="C142" i="2"/>
  <c r="B142" i="2"/>
  <c r="B286" i="2"/>
  <c r="D286" i="2" s="1"/>
  <c r="F286" i="2" s="1"/>
  <c r="G286" i="2" s="1"/>
  <c r="B222" i="2"/>
  <c r="D222" i="2" s="1"/>
  <c r="F222" i="2" s="1"/>
  <c r="G222" i="2" s="1"/>
  <c r="C312" i="2"/>
  <c r="C248" i="2"/>
  <c r="C184" i="2"/>
  <c r="C120" i="2"/>
  <c r="C56" i="2"/>
  <c r="B158" i="2"/>
  <c r="D158" i="2" s="1"/>
  <c r="F158" i="2" s="1"/>
  <c r="G158" i="2" s="1"/>
  <c r="C263" i="2"/>
  <c r="C254" i="2"/>
  <c r="C199" i="2"/>
  <c r="C190" i="2"/>
  <c r="C135" i="2"/>
  <c r="C71" i="2"/>
  <c r="C62" i="2"/>
  <c r="C44" i="2"/>
  <c r="B290" i="2"/>
  <c r="D290" i="2" s="1"/>
  <c r="F290" i="2" s="1"/>
  <c r="G290" i="2" s="1"/>
  <c r="B226" i="2"/>
  <c r="D226" i="2" s="1"/>
  <c r="F226" i="2" s="1"/>
  <c r="G226" i="2" s="1"/>
  <c r="B162" i="2"/>
  <c r="D162" i="2" s="1"/>
  <c r="F162" i="2" s="1"/>
  <c r="G162" i="2" s="1"/>
  <c r="B98" i="2"/>
  <c r="D98" i="2" s="1"/>
  <c r="F98" i="2" s="1"/>
  <c r="G98" i="2" s="1"/>
  <c r="C80" i="2"/>
  <c r="B12" i="2"/>
  <c r="D12" i="2" s="1"/>
  <c r="F12" i="2" s="1"/>
  <c r="G12" i="2" s="1"/>
  <c r="B306" i="2"/>
  <c r="D306" i="2" s="1"/>
  <c r="F306" i="2" s="1"/>
  <c r="G306" i="2" s="1"/>
  <c r="B270" i="2"/>
  <c r="D270" i="2" s="1"/>
  <c r="F270" i="2" s="1"/>
  <c r="G270" i="2" s="1"/>
  <c r="B242" i="2"/>
  <c r="D242" i="2" s="1"/>
  <c r="F242" i="2" s="1"/>
  <c r="G242" i="2" s="1"/>
  <c r="B178" i="2"/>
  <c r="D178" i="2" s="1"/>
  <c r="F178" i="2" s="1"/>
  <c r="G178" i="2" s="1"/>
  <c r="B114" i="2"/>
  <c r="D114" i="2" s="1"/>
  <c r="F114" i="2" s="1"/>
  <c r="G114" i="2" s="1"/>
  <c r="C206" i="2"/>
  <c r="C78" i="2"/>
  <c r="C296" i="2"/>
  <c r="C278" i="2"/>
  <c r="C232" i="2"/>
  <c r="C214" i="2"/>
  <c r="C168" i="2"/>
  <c r="C150" i="2"/>
  <c r="C104" i="2"/>
  <c r="C86" i="2"/>
  <c r="B8" i="2"/>
  <c r="D8" i="2" s="1"/>
  <c r="F8" i="2" s="1"/>
  <c r="G8" i="2" s="1"/>
  <c r="C300" i="2"/>
  <c r="C284" i="2"/>
  <c r="C268" i="2"/>
  <c r="C252" i="2"/>
  <c r="C236" i="2"/>
  <c r="C220" i="2"/>
  <c r="C204" i="2"/>
  <c r="D204" i="2" s="1"/>
  <c r="F204" i="2" s="1"/>
  <c r="G204" i="2" s="1"/>
  <c r="C188" i="2"/>
  <c r="C172" i="2"/>
  <c r="C156" i="2"/>
  <c r="C140" i="2"/>
  <c r="C124" i="2"/>
  <c r="C108" i="2"/>
  <c r="D108" i="2" s="1"/>
  <c r="F108" i="2" s="1"/>
  <c r="G108" i="2" s="1"/>
  <c r="C92" i="2"/>
  <c r="C76" i="2"/>
  <c r="C60" i="2"/>
  <c r="C303" i="2"/>
  <c r="D303" i="2" s="1"/>
  <c r="F303" i="2" s="1"/>
  <c r="G303" i="2" s="1"/>
  <c r="C287" i="2"/>
  <c r="C271" i="2"/>
  <c r="C255" i="2"/>
  <c r="C239" i="2"/>
  <c r="C223" i="2"/>
  <c r="C207" i="2"/>
  <c r="D207" i="2" s="1"/>
  <c r="F207" i="2" s="1"/>
  <c r="G207" i="2" s="1"/>
  <c r="C191" i="2"/>
  <c r="C175" i="2"/>
  <c r="C159" i="2"/>
  <c r="C143" i="2"/>
  <c r="C127" i="2"/>
  <c r="C111" i="2"/>
  <c r="C95" i="2"/>
  <c r="C79" i="2"/>
  <c r="C63" i="2"/>
  <c r="C307" i="2"/>
  <c r="C291" i="2"/>
  <c r="C275" i="2"/>
  <c r="C259" i="2"/>
  <c r="C243" i="2"/>
  <c r="C227" i="2"/>
  <c r="D227" i="2" s="1"/>
  <c r="F227" i="2" s="1"/>
  <c r="G227" i="2" s="1"/>
  <c r="C211" i="2"/>
  <c r="C195" i="2"/>
  <c r="C179" i="2"/>
  <c r="C163" i="2"/>
  <c r="C147" i="2"/>
  <c r="C131" i="2"/>
  <c r="C115" i="2"/>
  <c r="C99" i="2"/>
  <c r="C83" i="2"/>
  <c r="C67" i="2"/>
  <c r="C285" i="2"/>
  <c r="C269" i="2"/>
  <c r="C237" i="2"/>
  <c r="C221" i="2"/>
  <c r="C205" i="2"/>
  <c r="C189" i="2"/>
  <c r="C173" i="2"/>
  <c r="D173" i="2" s="1"/>
  <c r="F173" i="2" s="1"/>
  <c r="G173" i="2" s="1"/>
  <c r="C157" i="2"/>
  <c r="C141" i="2"/>
  <c r="C125" i="2"/>
  <c r="C109" i="2"/>
  <c r="C93" i="2"/>
  <c r="C77" i="2"/>
  <c r="C61" i="2"/>
  <c r="C301" i="2"/>
  <c r="C253" i="2"/>
  <c r="B5" i="2"/>
  <c r="D5" i="2" s="1"/>
  <c r="F5" i="2" s="1"/>
  <c r="G5" i="2" s="1"/>
  <c r="C43" i="2"/>
  <c r="C27" i="2"/>
  <c r="C11" i="2"/>
  <c r="C28" i="2"/>
  <c r="B47" i="2"/>
  <c r="D47" i="2" s="1"/>
  <c r="F47" i="2" s="1"/>
  <c r="G47" i="2" s="1"/>
  <c r="B31" i="2"/>
  <c r="D31" i="2" s="1"/>
  <c r="F31" i="2" s="1"/>
  <c r="G31" i="2" s="1"/>
  <c r="B15" i="2"/>
  <c r="D15" i="2" s="1"/>
  <c r="F15" i="2" s="1"/>
  <c r="G15" i="2" s="1"/>
  <c r="B46" i="2"/>
  <c r="D46" i="2" s="1"/>
  <c r="F46" i="2" s="1"/>
  <c r="G46" i="2" s="1"/>
  <c r="B30" i="2"/>
  <c r="D30" i="2" s="1"/>
  <c r="F30" i="2" s="1"/>
  <c r="G30" i="2" s="1"/>
  <c r="B14" i="2"/>
  <c r="D14" i="2" s="1"/>
  <c r="F14" i="2" s="1"/>
  <c r="G14" i="2" s="1"/>
  <c r="B45" i="2"/>
  <c r="D45" i="2" s="1"/>
  <c r="F45" i="2" s="1"/>
  <c r="G45" i="2" s="1"/>
  <c r="B29" i="2"/>
  <c r="D29" i="2" s="1"/>
  <c r="F29" i="2" s="1"/>
  <c r="G29" i="2" s="1"/>
  <c r="B13" i="2"/>
  <c r="D13" i="2" s="1"/>
  <c r="F13" i="2" s="1"/>
  <c r="G13" i="2" s="1"/>
  <c r="H85" i="1"/>
  <c r="F85" i="1" s="1"/>
  <c r="H100" i="1"/>
  <c r="F100" i="1" s="1"/>
  <c r="H101" i="1"/>
  <c r="F101" i="1" s="1"/>
  <c r="H104" i="1"/>
  <c r="F104" i="1" s="1"/>
  <c r="H83" i="1"/>
  <c r="F83" i="1" s="1"/>
  <c r="H95" i="1"/>
  <c r="F95" i="1" s="1"/>
  <c r="H96" i="1"/>
  <c r="F96" i="1" s="1"/>
  <c r="H88" i="1"/>
  <c r="F88" i="1" s="1"/>
  <c r="H89" i="1"/>
  <c r="F89" i="1" s="1"/>
  <c r="H87" i="1"/>
  <c r="F87" i="1" s="1"/>
  <c r="H94" i="1"/>
  <c r="F94" i="1" s="1"/>
  <c r="H91" i="1"/>
  <c r="F91" i="1" s="1"/>
  <c r="H97" i="1"/>
  <c r="F97" i="1" s="1"/>
  <c r="H98" i="1"/>
  <c r="F98" i="1" s="1"/>
  <c r="H99" i="1"/>
  <c r="F99" i="1" s="1"/>
  <c r="D44" i="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E39" i="1"/>
  <c r="I41" i="1" s="1"/>
  <c r="B17" i="3" l="1"/>
  <c r="O16" i="3" s="1"/>
  <c r="B49" i="3"/>
  <c r="O12" i="3" s="1"/>
  <c r="E9" i="3"/>
  <c r="P17" i="3" s="1"/>
  <c r="R17" i="3"/>
  <c r="E41" i="3"/>
  <c r="P13" i="3" s="1"/>
  <c r="R13" i="3"/>
  <c r="E49" i="3"/>
  <c r="P12" i="3" s="1"/>
  <c r="R12" i="3"/>
  <c r="B41" i="3"/>
  <c r="O13" i="3" s="1"/>
  <c r="Q13" i="3"/>
  <c r="B33" i="3"/>
  <c r="O14" i="3" s="1"/>
  <c r="Q14" i="3"/>
  <c r="B9" i="3"/>
  <c r="O17" i="3" s="1"/>
  <c r="Q17" i="3"/>
  <c r="P14" i="3"/>
  <c r="M110" i="1"/>
  <c r="K110" i="1"/>
  <c r="D269" i="2"/>
  <c r="F269" i="2" s="1"/>
  <c r="G269" i="2" s="1"/>
  <c r="D271" i="2"/>
  <c r="F271" i="2" s="1"/>
  <c r="G271" i="2" s="1"/>
  <c r="D205" i="2"/>
  <c r="F205" i="2" s="1"/>
  <c r="G205" i="2" s="1"/>
  <c r="D90" i="2"/>
  <c r="F90" i="2" s="1"/>
  <c r="G90" i="2" s="1"/>
  <c r="D287" i="2"/>
  <c r="F287" i="2" s="1"/>
  <c r="G287" i="2" s="1"/>
  <c r="D285" i="2"/>
  <c r="F285" i="2" s="1"/>
  <c r="G285" i="2" s="1"/>
  <c r="D189" i="2"/>
  <c r="F189" i="2" s="1"/>
  <c r="G189" i="2" s="1"/>
  <c r="D238" i="2"/>
  <c r="F238" i="2" s="1"/>
  <c r="G238" i="2" s="1"/>
  <c r="D252" i="2"/>
  <c r="F252" i="2" s="1"/>
  <c r="G252" i="2" s="1"/>
  <c r="D253" i="2"/>
  <c r="F253" i="2" s="1"/>
  <c r="G253" i="2" s="1"/>
  <c r="D11" i="2"/>
  <c r="F11" i="2" s="1"/>
  <c r="G11" i="2" s="1"/>
  <c r="D221" i="2"/>
  <c r="F221" i="2" s="1"/>
  <c r="G221" i="2" s="1"/>
  <c r="D230" i="2"/>
  <c r="F230" i="2" s="1"/>
  <c r="G230" i="2" s="1"/>
  <c r="D234" i="2"/>
  <c r="F234" i="2" s="1"/>
  <c r="G234" i="2" s="1"/>
  <c r="D60" i="2"/>
  <c r="F60" i="2" s="1"/>
  <c r="G60" i="2" s="1"/>
  <c r="D300" i="2"/>
  <c r="F300" i="2" s="1"/>
  <c r="G300" i="2" s="1"/>
  <c r="D223" i="2"/>
  <c r="F223" i="2" s="1"/>
  <c r="G223" i="2" s="1"/>
  <c r="D63" i="2"/>
  <c r="F63" i="2" s="1"/>
  <c r="G63" i="2" s="1"/>
  <c r="D277" i="2"/>
  <c r="F277" i="2" s="1"/>
  <c r="G277" i="2" s="1"/>
  <c r="D74" i="2"/>
  <c r="F74" i="2" s="1"/>
  <c r="G74" i="2" s="1"/>
  <c r="D110" i="2"/>
  <c r="F110" i="2" s="1"/>
  <c r="G110" i="2" s="1"/>
  <c r="D258" i="2"/>
  <c r="F258" i="2" s="1"/>
  <c r="G258" i="2" s="1"/>
  <c r="D229" i="2"/>
  <c r="F229" i="2" s="1"/>
  <c r="G229" i="2" s="1"/>
  <c r="D67" i="2"/>
  <c r="F67" i="2" s="1"/>
  <c r="G67" i="2" s="1"/>
  <c r="D111" i="2"/>
  <c r="F111" i="2" s="1"/>
  <c r="G111" i="2" s="1"/>
  <c r="D268" i="2"/>
  <c r="F268" i="2" s="1"/>
  <c r="G268" i="2" s="1"/>
  <c r="D149" i="2"/>
  <c r="F149" i="2" s="1"/>
  <c r="G149" i="2" s="1"/>
  <c r="D118" i="2"/>
  <c r="F118" i="2" s="1"/>
  <c r="G118" i="2" s="1"/>
  <c r="D310" i="2"/>
  <c r="F310" i="2" s="1"/>
  <c r="G310" i="2" s="1"/>
  <c r="D203" i="2"/>
  <c r="F203" i="2" s="1"/>
  <c r="G203" i="2" s="1"/>
  <c r="D104" i="2"/>
  <c r="F104" i="2" s="1"/>
  <c r="G104" i="2" s="1"/>
  <c r="D288" i="2"/>
  <c r="F288" i="2" s="1"/>
  <c r="G288" i="2" s="1"/>
  <c r="D88" i="2"/>
  <c r="F88" i="2" s="1"/>
  <c r="G88" i="2" s="1"/>
  <c r="D284" i="2"/>
  <c r="F284" i="2" s="1"/>
  <c r="G284" i="2" s="1"/>
  <c r="D68" i="2"/>
  <c r="F68" i="2" s="1"/>
  <c r="G68" i="2" s="1"/>
  <c r="D120" i="2"/>
  <c r="F120" i="2" s="1"/>
  <c r="G120" i="2" s="1"/>
  <c r="D26" i="2"/>
  <c r="F26" i="2" s="1"/>
  <c r="G26" i="2" s="1"/>
  <c r="D124" i="2"/>
  <c r="F124" i="2" s="1"/>
  <c r="G124" i="2" s="1"/>
  <c r="D28" i="2"/>
  <c r="F28" i="2" s="1"/>
  <c r="G28" i="2" s="1"/>
  <c r="D154" i="2"/>
  <c r="F154" i="2" s="1"/>
  <c r="G154" i="2" s="1"/>
  <c r="D131" i="2"/>
  <c r="F131" i="2" s="1"/>
  <c r="G131" i="2" s="1"/>
  <c r="D49" i="2"/>
  <c r="F49" i="2" s="1"/>
  <c r="G49" i="2" s="1"/>
  <c r="D312" i="2"/>
  <c r="F312" i="2" s="1"/>
  <c r="G312" i="2" s="1"/>
  <c r="D170" i="2"/>
  <c r="F170" i="2" s="1"/>
  <c r="G170" i="2" s="1"/>
  <c r="D44" i="2"/>
  <c r="F44" i="2" s="1"/>
  <c r="G44" i="2" s="1"/>
  <c r="D260" i="2"/>
  <c r="F260" i="2" s="1"/>
  <c r="G260" i="2" s="1"/>
  <c r="D172" i="2"/>
  <c r="F172" i="2" s="1"/>
  <c r="G172" i="2" s="1"/>
  <c r="D211" i="2"/>
  <c r="F211" i="2" s="1"/>
  <c r="G211" i="2" s="1"/>
  <c r="D213" i="2"/>
  <c r="F213" i="2" s="1"/>
  <c r="G213" i="2" s="1"/>
  <c r="D231" i="2"/>
  <c r="F231" i="2" s="1"/>
  <c r="G231" i="2" s="1"/>
  <c r="D32" i="2"/>
  <c r="F32" i="2" s="1"/>
  <c r="G32" i="2" s="1"/>
  <c r="D184" i="2"/>
  <c r="F184" i="2" s="1"/>
  <c r="G184" i="2" s="1"/>
  <c r="D86" i="2"/>
  <c r="F86" i="2" s="1"/>
  <c r="G86" i="2" s="1"/>
  <c r="D99" i="2"/>
  <c r="F99" i="2" s="1"/>
  <c r="G99" i="2" s="1"/>
  <c r="D140" i="2"/>
  <c r="F140" i="2" s="1"/>
  <c r="G140" i="2" s="1"/>
  <c r="D278" i="2"/>
  <c r="F278" i="2" s="1"/>
  <c r="G278" i="2" s="1"/>
  <c r="D279" i="2"/>
  <c r="F279" i="2" s="1"/>
  <c r="G279" i="2" s="1"/>
  <c r="D295" i="2"/>
  <c r="F295" i="2" s="1"/>
  <c r="G295" i="2" s="1"/>
  <c r="D87" i="2"/>
  <c r="F87" i="2" s="1"/>
  <c r="G87" i="2" s="1"/>
  <c r="D93" i="2"/>
  <c r="F93" i="2" s="1"/>
  <c r="G93" i="2" s="1"/>
  <c r="D61" i="2"/>
  <c r="F61" i="2" s="1"/>
  <c r="G61" i="2" s="1"/>
  <c r="D163" i="2"/>
  <c r="F163" i="2" s="1"/>
  <c r="G163" i="2" s="1"/>
  <c r="D296" i="2"/>
  <c r="F296" i="2" s="1"/>
  <c r="G296" i="2" s="1"/>
  <c r="D80" i="2"/>
  <c r="F80" i="2" s="1"/>
  <c r="G80" i="2" s="1"/>
  <c r="D147" i="2"/>
  <c r="F147" i="2" s="1"/>
  <c r="G147" i="2" s="1"/>
  <c r="D183" i="2"/>
  <c r="F183" i="2" s="1"/>
  <c r="G183" i="2" s="1"/>
  <c r="D142" i="2"/>
  <c r="F142" i="2" s="1"/>
  <c r="G142" i="2" s="1"/>
  <c r="D236" i="2"/>
  <c r="F236" i="2" s="1"/>
  <c r="G236" i="2" s="1"/>
  <c r="D157" i="2"/>
  <c r="F157" i="2" s="1"/>
  <c r="G157" i="2" s="1"/>
  <c r="D254" i="2"/>
  <c r="F254" i="2" s="1"/>
  <c r="G254" i="2" s="1"/>
  <c r="D72" i="2"/>
  <c r="F72" i="2" s="1"/>
  <c r="G72" i="2" s="1"/>
  <c r="D155" i="2"/>
  <c r="F155" i="2" s="1"/>
  <c r="G155" i="2" s="1"/>
  <c r="D195" i="2"/>
  <c r="F195" i="2" s="1"/>
  <c r="G195" i="2" s="1"/>
  <c r="D71" i="2"/>
  <c r="F71" i="2" s="1"/>
  <c r="G71" i="2" s="1"/>
  <c r="D135" i="2"/>
  <c r="F135" i="2" s="1"/>
  <c r="G135" i="2" s="1"/>
  <c r="D240" i="2"/>
  <c r="F240" i="2" s="1"/>
  <c r="G240" i="2" s="1"/>
  <c r="D301" i="2"/>
  <c r="F301" i="2" s="1"/>
  <c r="G301" i="2" s="1"/>
  <c r="D150" i="2"/>
  <c r="F150" i="2" s="1"/>
  <c r="G150" i="2" s="1"/>
  <c r="D6" i="2"/>
  <c r="F6" i="2" s="1"/>
  <c r="G6" i="2" s="1"/>
  <c r="D188" i="2"/>
  <c r="F188" i="2" s="1"/>
  <c r="G188" i="2" s="1"/>
  <c r="D125" i="2"/>
  <c r="F125" i="2" s="1"/>
  <c r="G125" i="2" s="1"/>
  <c r="D168" i="2"/>
  <c r="F168" i="2" s="1"/>
  <c r="G168" i="2" s="1"/>
  <c r="D83" i="2"/>
  <c r="F83" i="2" s="1"/>
  <c r="G83" i="2" s="1"/>
  <c r="D176" i="2"/>
  <c r="F176" i="2" s="1"/>
  <c r="G176" i="2" s="1"/>
  <c r="D76" i="2"/>
  <c r="F76" i="2" s="1"/>
  <c r="G76" i="2" s="1"/>
  <c r="D143" i="2"/>
  <c r="F143" i="2" s="1"/>
  <c r="G143" i="2" s="1"/>
  <c r="D215" i="2"/>
  <c r="F215" i="2" s="1"/>
  <c r="G215" i="2" s="1"/>
  <c r="D126" i="2"/>
  <c r="F126" i="2" s="1"/>
  <c r="G126" i="2" s="1"/>
  <c r="D247" i="2"/>
  <c r="F247" i="2" s="1"/>
  <c r="G247" i="2" s="1"/>
  <c r="D81" i="2"/>
  <c r="F81" i="2" s="1"/>
  <c r="G81" i="2" s="1"/>
  <c r="D58" i="2"/>
  <c r="F58" i="2" s="1"/>
  <c r="G58" i="2" s="1"/>
  <c r="D182" i="2"/>
  <c r="F182" i="2" s="1"/>
  <c r="G182" i="2" s="1"/>
  <c r="D206" i="2"/>
  <c r="F206" i="2" s="1"/>
  <c r="G206" i="2" s="1"/>
  <c r="D255" i="2"/>
  <c r="F255" i="2" s="1"/>
  <c r="G255" i="2" s="1"/>
  <c r="D214" i="2"/>
  <c r="F214" i="2" s="1"/>
  <c r="G214" i="2" s="1"/>
  <c r="D106" i="2"/>
  <c r="F106" i="2" s="1"/>
  <c r="G106" i="2" s="1"/>
  <c r="D232" i="2"/>
  <c r="F232" i="2" s="1"/>
  <c r="G232" i="2" s="1"/>
  <c r="D7" i="2"/>
  <c r="F7" i="2" s="1"/>
  <c r="G7" i="2" s="1"/>
  <c r="D75" i="2"/>
  <c r="F75" i="2" s="1"/>
  <c r="G75" i="2" s="1"/>
  <c r="D19" i="2"/>
  <c r="F19" i="2" s="1"/>
  <c r="G19" i="2" s="1"/>
  <c r="D243" i="2"/>
  <c r="F243" i="2" s="1"/>
  <c r="G243" i="2" s="1"/>
  <c r="D199" i="2"/>
  <c r="F199" i="2" s="1"/>
  <c r="G199" i="2" s="1"/>
  <c r="D264" i="2"/>
  <c r="F264" i="2" s="1"/>
  <c r="G264" i="2" s="1"/>
  <c r="D138" i="2"/>
  <c r="F138" i="2" s="1"/>
  <c r="G138" i="2" s="1"/>
  <c r="D127" i="2"/>
  <c r="F127" i="2" s="1"/>
  <c r="G127" i="2" s="1"/>
  <c r="D181" i="2"/>
  <c r="F181" i="2" s="1"/>
  <c r="G181" i="2" s="1"/>
  <c r="D159" i="2"/>
  <c r="F159" i="2" s="1"/>
  <c r="G159" i="2" s="1"/>
  <c r="D216" i="2"/>
  <c r="F216" i="2" s="1"/>
  <c r="G216" i="2" s="1"/>
  <c r="D259" i="2"/>
  <c r="F259" i="2" s="1"/>
  <c r="G259" i="2" s="1"/>
  <c r="D192" i="2"/>
  <c r="F192" i="2" s="1"/>
  <c r="G192" i="2" s="1"/>
  <c r="D241" i="2"/>
  <c r="F241" i="2" s="1"/>
  <c r="G241" i="2" s="1"/>
  <c r="D38" i="2"/>
  <c r="F38" i="2" s="1"/>
  <c r="G38" i="2" s="1"/>
  <c r="D248" i="2"/>
  <c r="F248" i="2" s="1"/>
  <c r="G248" i="2" s="1"/>
  <c r="D27" i="2"/>
  <c r="F27" i="2" s="1"/>
  <c r="G27" i="2" s="1"/>
  <c r="D275" i="2"/>
  <c r="F275" i="2" s="1"/>
  <c r="G275" i="2" s="1"/>
  <c r="D263" i="2"/>
  <c r="F263" i="2" s="1"/>
  <c r="G263" i="2" s="1"/>
  <c r="D304" i="2"/>
  <c r="F304" i="2" s="1"/>
  <c r="G304" i="2" s="1"/>
  <c r="D102" i="2"/>
  <c r="F102" i="2" s="1"/>
  <c r="G102" i="2" s="1"/>
  <c r="D237" i="2"/>
  <c r="F237" i="2" s="1"/>
  <c r="G237" i="2" s="1"/>
  <c r="D109" i="2"/>
  <c r="F109" i="2" s="1"/>
  <c r="G109" i="2" s="1"/>
  <c r="D24" i="2"/>
  <c r="F24" i="2" s="1"/>
  <c r="G24" i="2" s="1"/>
  <c r="D309" i="2"/>
  <c r="F309" i="2" s="1"/>
  <c r="G309" i="2" s="1"/>
  <c r="D115" i="2"/>
  <c r="F115" i="2" s="1"/>
  <c r="G115" i="2" s="1"/>
  <c r="D308" i="2"/>
  <c r="F308" i="2" s="1"/>
  <c r="G308" i="2" s="1"/>
  <c r="D186" i="2"/>
  <c r="F186" i="2" s="1"/>
  <c r="G186" i="2" s="1"/>
  <c r="D190" i="2"/>
  <c r="F190" i="2" s="1"/>
  <c r="G190" i="2" s="1"/>
  <c r="D307" i="2"/>
  <c r="F307" i="2" s="1"/>
  <c r="G307" i="2" s="1"/>
  <c r="D56" i="2"/>
  <c r="F56" i="2" s="1"/>
  <c r="G56" i="2" s="1"/>
  <c r="D151" i="2"/>
  <c r="F151" i="2" s="1"/>
  <c r="G151" i="2" s="1"/>
  <c r="D179" i="2"/>
  <c r="F179" i="2" s="1"/>
  <c r="G179" i="2" s="1"/>
  <c r="D82" i="2"/>
  <c r="F82" i="2" s="1"/>
  <c r="G82" i="2" s="1"/>
  <c r="D85" i="2"/>
  <c r="F85" i="2" s="1"/>
  <c r="G85" i="2" s="1"/>
  <c r="D239" i="2"/>
  <c r="F239" i="2" s="1"/>
  <c r="G239" i="2" s="1"/>
  <c r="D218" i="2"/>
  <c r="F218" i="2" s="1"/>
  <c r="G218" i="2" s="1"/>
  <c r="D156" i="2"/>
  <c r="F156" i="2" s="1"/>
  <c r="G156" i="2" s="1"/>
  <c r="D77" i="2"/>
  <c r="F77" i="2" s="1"/>
  <c r="G77" i="2" s="1"/>
  <c r="D79" i="2"/>
  <c r="F79" i="2" s="1"/>
  <c r="G79" i="2" s="1"/>
  <c r="D40" i="2"/>
  <c r="F40" i="2" s="1"/>
  <c r="G40" i="2" s="1"/>
  <c r="D256" i="2"/>
  <c r="F256" i="2" s="1"/>
  <c r="G256" i="2" s="1"/>
  <c r="D84" i="2"/>
  <c r="F84" i="2" s="1"/>
  <c r="G84" i="2" s="1"/>
  <c r="D302" i="2"/>
  <c r="F302" i="2" s="1"/>
  <c r="G302" i="2" s="1"/>
  <c r="D141" i="2"/>
  <c r="F141" i="2" s="1"/>
  <c r="G141" i="2" s="1"/>
  <c r="D92" i="2"/>
  <c r="F92" i="2" s="1"/>
  <c r="G92" i="2" s="1"/>
  <c r="D20" i="2"/>
  <c r="F20" i="2" s="1"/>
  <c r="G20" i="2" s="1"/>
  <c r="D251" i="2"/>
  <c r="F251" i="2" s="1"/>
  <c r="G251" i="2" s="1"/>
  <c r="D48" i="2"/>
  <c r="F48" i="2" s="1"/>
  <c r="G48" i="2" s="1"/>
  <c r="D291" i="2"/>
  <c r="F291" i="2" s="1"/>
  <c r="G291" i="2" s="1"/>
  <c r="D292" i="2"/>
  <c r="F292" i="2" s="1"/>
  <c r="G292" i="2" s="1"/>
  <c r="D175" i="2"/>
  <c r="F175" i="2" s="1"/>
  <c r="G175" i="2" s="1"/>
  <c r="D220" i="2"/>
  <c r="F220" i="2" s="1"/>
  <c r="G220" i="2" s="1"/>
  <c r="D62" i="2"/>
  <c r="F62" i="2" s="1"/>
  <c r="G62" i="2" s="1"/>
  <c r="D139" i="2"/>
  <c r="F139" i="2" s="1"/>
  <c r="G139" i="2" s="1"/>
  <c r="D146" i="2"/>
  <c r="F146" i="2" s="1"/>
  <c r="G146" i="2" s="1"/>
  <c r="D43" i="2"/>
  <c r="F43" i="2" s="1"/>
  <c r="G43" i="2" s="1"/>
  <c r="D282" i="2"/>
  <c r="F282" i="2" s="1"/>
  <c r="G282" i="2" s="1"/>
  <c r="D95" i="2"/>
  <c r="F95" i="2" s="1"/>
  <c r="G95" i="2" s="1"/>
  <c r="D210" i="2"/>
  <c r="F210" i="2" s="1"/>
  <c r="G210" i="2" s="1"/>
  <c r="D191" i="2"/>
  <c r="F191" i="2" s="1"/>
  <c r="G191" i="2" s="1"/>
  <c r="D78" i="2"/>
  <c r="F78" i="2" s="1"/>
  <c r="G78" i="2" s="1"/>
  <c r="F2" i="2"/>
  <c r="G2" i="2" s="1"/>
  <c r="C63" i="1"/>
  <c r="E41" i="1"/>
  <c r="C64" i="1"/>
  <c r="I32" i="1" l="1"/>
  <c r="E42" i="1"/>
  <c r="F41" i="1"/>
  <c r="G41" i="1" s="1"/>
  <c r="I43" i="1" s="1"/>
  <c r="E43" i="1" l="1"/>
  <c r="F42" i="1"/>
  <c r="G42" i="1" s="1"/>
  <c r="I44" i="1" s="1"/>
  <c r="E44" i="1" l="1"/>
  <c r="F43" i="1"/>
  <c r="G43" i="1" s="1"/>
  <c r="I45" i="1" s="1"/>
  <c r="E45" i="1" l="1"/>
  <c r="F44" i="1"/>
  <c r="G44" i="1" s="1"/>
  <c r="I46" i="1" s="1"/>
  <c r="E46" i="1" l="1"/>
  <c r="F45" i="1"/>
  <c r="G45" i="1" s="1"/>
  <c r="I47" i="1" s="1"/>
  <c r="E47" i="1" l="1"/>
  <c r="F46" i="1"/>
  <c r="G46" i="1" s="1"/>
  <c r="I48" i="1" s="1"/>
  <c r="E48" i="1" l="1"/>
  <c r="F47" i="1"/>
  <c r="G47" i="1" s="1"/>
  <c r="I49" i="1" s="1"/>
  <c r="E49" i="1" l="1"/>
  <c r="F48" i="1"/>
  <c r="G48" i="1" s="1"/>
  <c r="I50" i="1" s="1"/>
  <c r="E50" i="1" l="1"/>
  <c r="F49" i="1"/>
  <c r="G49" i="1" s="1"/>
  <c r="I51" i="1" s="1"/>
  <c r="E51" i="1" l="1"/>
  <c r="F50" i="1"/>
  <c r="G50" i="1" s="1"/>
  <c r="I52" i="1" s="1"/>
  <c r="E52" i="1" l="1"/>
  <c r="F51" i="1"/>
  <c r="G51" i="1" s="1"/>
  <c r="I53" i="1" s="1"/>
  <c r="E53" i="1" l="1"/>
  <c r="F52" i="1"/>
  <c r="G52" i="1" s="1"/>
  <c r="I54" i="1" s="1"/>
  <c r="F53" i="1" l="1"/>
  <c r="G53" i="1" s="1"/>
  <c r="I55" i="1" s="1"/>
  <c r="E54" i="1"/>
  <c r="E55" i="1" l="1"/>
  <c r="F54" i="1"/>
  <c r="G54" i="1" s="1"/>
  <c r="I56" i="1" s="1"/>
  <c r="E56" i="1" l="1"/>
  <c r="F55" i="1"/>
  <c r="G55" i="1" s="1"/>
  <c r="I57" i="1" s="1"/>
  <c r="E57" i="1" l="1"/>
  <c r="F56" i="1"/>
  <c r="G56" i="1" s="1"/>
  <c r="I58" i="1" s="1"/>
  <c r="E58" i="1" l="1"/>
  <c r="F57" i="1"/>
  <c r="G57" i="1" s="1"/>
  <c r="I59" i="1" s="1"/>
  <c r="E59" i="1" l="1"/>
  <c r="F58" i="1"/>
  <c r="G58" i="1" s="1"/>
  <c r="I60" i="1" s="1"/>
  <c r="E60" i="1" l="1"/>
  <c r="F59" i="1"/>
  <c r="G59" i="1" s="1"/>
  <c r="I61" i="1" s="1"/>
  <c r="E61" i="1" l="1"/>
  <c r="F60" i="1"/>
  <c r="G60" i="1" s="1"/>
  <c r="I62" i="1" s="1"/>
  <c r="E62" i="1" l="1"/>
  <c r="F61" i="1"/>
  <c r="G61" i="1" s="1"/>
  <c r="I63" i="1" s="1"/>
  <c r="E63" i="1" l="1"/>
  <c r="F62" i="1"/>
  <c r="G62" i="1" s="1"/>
  <c r="I64" i="1" s="1"/>
  <c r="E64" i="1" l="1"/>
  <c r="F63" i="1"/>
  <c r="G63" i="1" s="1"/>
  <c r="I65" i="1" s="1"/>
  <c r="E65" i="1" l="1"/>
  <c r="F64" i="1"/>
  <c r="G64" i="1" s="1"/>
  <c r="I66" i="1" s="1"/>
  <c r="E66" i="1" l="1"/>
  <c r="F65" i="1"/>
  <c r="G65" i="1" s="1"/>
  <c r="I67" i="1" s="1"/>
  <c r="E67" i="1" l="1"/>
  <c r="F66" i="1"/>
  <c r="G66" i="1" s="1"/>
  <c r="I68" i="1" s="1"/>
  <c r="E68" i="1" l="1"/>
  <c r="F67" i="1"/>
  <c r="G67" i="1" s="1"/>
  <c r="I69" i="1" s="1"/>
  <c r="E69" i="1" l="1"/>
  <c r="F68" i="1"/>
  <c r="G68" i="1" s="1"/>
  <c r="I70" i="1" s="1"/>
  <c r="F69" i="1" l="1"/>
  <c r="G69" i="1" s="1"/>
  <c r="I71" i="1" s="1"/>
</calcChain>
</file>

<file path=xl/sharedStrings.xml><?xml version="1.0" encoding="utf-8"?>
<sst xmlns="http://schemas.openxmlformats.org/spreadsheetml/2006/main" count="91" uniqueCount="82">
  <si>
    <t>y=sqrt(r^2-x^2)</t>
  </si>
  <si>
    <t>1.8592e-02+6.7883e-03i</t>
  </si>
  <si>
    <t>1.8161e-02+7.9163e-03i</t>
  </si>
  <si>
    <t>z(nm)</t>
  </si>
  <si>
    <t>real</t>
  </si>
  <si>
    <t>imag</t>
  </si>
  <si>
    <t>I</t>
  </si>
  <si>
    <t>1.8145e-02+7.9782e-03i</t>
  </si>
  <si>
    <t>1.8280e-02+7.6151e-03i</t>
  </si>
  <si>
    <t>1.8414e-02+7.2086e-03i</t>
  </si>
  <si>
    <t>1.8695e-02+6.4822e-03i</t>
  </si>
  <si>
    <t>1.8803e-02+6.1538e-03i</t>
  </si>
  <si>
    <t>1.8874e-02+5.8639e-03i</t>
  </si>
  <si>
    <t>1.8977e-02+5.5442e-03i</t>
  </si>
  <si>
    <t>1.9045e-02+5.2501e-03i</t>
  </si>
  <si>
    <t>1.9109e-02+4.9251e-03i</t>
  </si>
  <si>
    <t>1.9180e-02+4.6353e-03i</t>
  </si>
  <si>
    <t>1.9259e-02+4.3215e-03i</t>
  </si>
  <si>
    <t>1.9298e-02+4.0198e-03i</t>
  </si>
  <si>
    <t>1.9366e-02+3.6923e-03i</t>
  </si>
  <si>
    <t>1.9422e-02+3.3858e-03i</t>
  </si>
  <si>
    <t>1.9697e-02+2.0920e-04i</t>
  </si>
  <si>
    <t>1.9461e-02-2.9801e-03i</t>
  </si>
  <si>
    <t>1.7580e-02-9.0060e-03i</t>
  </si>
  <si>
    <t>1.8742e-02-6.0729e-03i</t>
  </si>
  <si>
    <t>1.6851e-02-1.0343e-02i</t>
  </si>
  <si>
    <t>rotate</t>
  </si>
  <si>
    <t>theta</t>
  </si>
  <si>
    <t>1.0425e-02-1.6887e-02i</t>
  </si>
  <si>
    <t>shift</t>
  </si>
  <si>
    <t>mult</t>
  </si>
  <si>
    <t>-6.8927e-03-1.8765e-02i</t>
  </si>
  <si>
    <t>1.9038e-03-1.9947e-02i</t>
  </si>
  <si>
    <t>-1.1979e-02-1.5788e-02i</t>
  </si>
  <si>
    <t>-1.8603e-02-3.1088e-03i</t>
  </si>
  <si>
    <t>-1.4663e-02+1.0468e-02i</t>
  </si>
  <si>
    <t>error</t>
  </si>
  <si>
    <t>plus</t>
  </si>
  <si>
    <t>multout</t>
  </si>
  <si>
    <t>sin phase</t>
  </si>
  <si>
    <t>sin real</t>
  </si>
  <si>
    <t>phase</t>
  </si>
  <si>
    <t>z</t>
  </si>
  <si>
    <t>p_OM</t>
  </si>
  <si>
    <t>P_IM</t>
  </si>
  <si>
    <t>p_S</t>
  </si>
  <si>
    <t>r_OM</t>
  </si>
  <si>
    <t>r_IM</t>
  </si>
  <si>
    <t>r_S</t>
  </si>
  <si>
    <t>p_off</t>
  </si>
  <si>
    <t>phi</t>
  </si>
  <si>
    <t>9.3867e-03-1.1716e-02i</t>
  </si>
  <si>
    <t>0.0 3000]</t>
  </si>
  <si>
    <t>-1.2300e-03-1.0015e-02i</t>
  </si>
  <si>
    <t>2nm</t>
  </si>
  <si>
    <t>Graphene 50 nm</t>
  </si>
  <si>
    <t>Silicon Nitride 25 nm</t>
  </si>
  <si>
    <t>Graphene 100 nm</t>
  </si>
  <si>
    <t>Silicon Nitride 100 nm</t>
  </si>
  <si>
    <t>Silicon Nitride 50 nm</t>
  </si>
  <si>
    <t>Graphene 25 nm</t>
  </si>
  <si>
    <t>G</t>
  </si>
  <si>
    <t>SN</t>
  </si>
  <si>
    <t>G 10 nm</t>
  </si>
  <si>
    <t>-4.0094e-04-3.1790e-03i</t>
  </si>
  <si>
    <t>-4.0004e-04-3.1468e-03i</t>
  </si>
  <si>
    <t>SN 10 nm</t>
  </si>
  <si>
    <t>-3.9876e-04-3.1462e-03i</t>
  </si>
  <si>
    <t>-3.9778e-04-3.1467e-03i</t>
  </si>
  <si>
    <t>-4.1328e-04-3.1426e-03i</t>
  </si>
  <si>
    <t>SN 75 nm</t>
  </si>
  <si>
    <t>-4.3135e-04-3.1474e-03i</t>
  </si>
  <si>
    <t>G 75 nm</t>
  </si>
  <si>
    <t>-4.0102e-04-3.1792e-03i</t>
  </si>
  <si>
    <t>-4.0372e-04-3.1821e-03i</t>
  </si>
  <si>
    <t>-4.0598e-04-3.1844e-03i</t>
  </si>
  <si>
    <t>i</t>
  </si>
  <si>
    <t>-4.3048e-04-3.1889e-03i</t>
  </si>
  <si>
    <t>-4.0939e-04-3.1446e-03i</t>
  </si>
  <si>
    <t>SN 65 nm</t>
  </si>
  <si>
    <t>-4.0378e-04-3.1804e-03i</t>
  </si>
  <si>
    <t>G 65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</si>
</sst>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11" fontId="0" fillId="0" borderId="0" xfId="0" applyNumberFormat="1"/>
    <xf numFmtId="2" fontId="0" fillId="0" borderId="0" xfId="0" applyNumberFormat="1"/>
    <xf numFmtId="0" fontId="0" fillId="0" borderId="0" xfId="0" applyNumberFormat="1"/>
    <xf numFmtId="0" fontId="0" fillId="0" borderId="0" xfId="0" quotePrefix="1"/>
    <xf numFmtId="49" fontId="0" fillId="0" borderId="0" xfId="0" applyNumberFormat="1"/>
    <xf numFmtId="0" fontId="0" fillId="0" borderId="1" xfId="0" applyBorder="1" applyAlignment="1">
      <alignment horizontal="center"/>
    </xf>
    <xf numFmtId="0" fontId="0" fillId="0" borderId="2" xfId="0"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Sheet1!$E$24:$E$72</c:f>
              <c:numCache>
                <c:formatCode>General</c:formatCode>
                <c:ptCount val="49"/>
                <c:pt idx="0">
                  <c:v>0</c:v>
                </c:pt>
                <c:pt idx="1">
                  <c:v>102</c:v>
                </c:pt>
                <c:pt idx="2">
                  <c:v>160</c:v>
                </c:pt>
                <c:pt idx="3">
                  <c:v>208</c:v>
                </c:pt>
                <c:pt idx="4">
                  <c:v>275</c:v>
                </c:pt>
                <c:pt idx="5">
                  <c:v>300</c:v>
                </c:pt>
                <c:pt idx="6">
                  <c:v>318</c:v>
                </c:pt>
                <c:pt idx="7">
                  <c:v>333</c:v>
                </c:pt>
                <c:pt idx="8">
                  <c:v>345</c:v>
                </c:pt>
                <c:pt idx="9">
                  <c:v>354</c:v>
                </c:pt>
                <c:pt idx="10">
                  <c:v>358</c:v>
                </c:pt>
                <c:pt idx="11">
                  <c:v>360</c:v>
                </c:pt>
                <c:pt idx="12">
                  <c:v>362</c:v>
                </c:pt>
                <c:pt idx="13">
                  <c:v>363</c:v>
                </c:pt>
                <c:pt idx="14">
                  <c:v>363.5</c:v>
                </c:pt>
                <c:pt idx="15">
                  <c:v>364</c:v>
                </c:pt>
                <c:pt idx="16">
                  <c:v>363.9</c:v>
                </c:pt>
                <c:pt idx="17">
                  <c:v>363.75</c:v>
                </c:pt>
                <c:pt idx="18">
                  <c:v>363.25</c:v>
                </c:pt>
                <c:pt idx="19">
                  <c:v>362.5</c:v>
                </c:pt>
                <c:pt idx="20">
                  <c:v>361.5</c:v>
                </c:pt>
                <c:pt idx="21">
                  <c:v>360.25</c:v>
                </c:pt>
                <c:pt idx="22">
                  <c:v>358.75</c:v>
                </c:pt>
                <c:pt idx="23">
                  <c:v>357</c:v>
                </c:pt>
                <c:pt idx="24">
                  <c:v>355</c:v>
                </c:pt>
                <c:pt idx="25">
                  <c:v>352.75</c:v>
                </c:pt>
                <c:pt idx="26">
                  <c:v>350.25</c:v>
                </c:pt>
                <c:pt idx="27">
                  <c:v>347.5</c:v>
                </c:pt>
                <c:pt idx="28">
                  <c:v>344.5</c:v>
                </c:pt>
                <c:pt idx="29">
                  <c:v>341.25</c:v>
                </c:pt>
                <c:pt idx="30">
                  <c:v>337.75</c:v>
                </c:pt>
                <c:pt idx="31">
                  <c:v>334</c:v>
                </c:pt>
                <c:pt idx="32">
                  <c:v>330</c:v>
                </c:pt>
                <c:pt idx="33">
                  <c:v>325.75</c:v>
                </c:pt>
                <c:pt idx="34">
                  <c:v>321.25</c:v>
                </c:pt>
                <c:pt idx="35">
                  <c:v>316.5</c:v>
                </c:pt>
                <c:pt idx="36">
                  <c:v>311.5</c:v>
                </c:pt>
                <c:pt idx="37">
                  <c:v>306.25</c:v>
                </c:pt>
                <c:pt idx="38">
                  <c:v>300.75</c:v>
                </c:pt>
                <c:pt idx="39">
                  <c:v>295</c:v>
                </c:pt>
                <c:pt idx="40">
                  <c:v>289</c:v>
                </c:pt>
                <c:pt idx="41">
                  <c:v>282.75</c:v>
                </c:pt>
                <c:pt idx="42">
                  <c:v>276.25</c:v>
                </c:pt>
                <c:pt idx="43">
                  <c:v>269.5</c:v>
                </c:pt>
                <c:pt idx="44">
                  <c:v>262.5</c:v>
                </c:pt>
                <c:pt idx="45">
                  <c:v>255.25</c:v>
                </c:pt>
                <c:pt idx="46">
                  <c:v>250</c:v>
                </c:pt>
                <c:pt idx="47">
                  <c:v>0</c:v>
                </c:pt>
              </c:numCache>
            </c:numRef>
          </c:xVal>
          <c:yVal>
            <c:numRef>
              <c:f>Sheet1!$G$24:$G$72</c:f>
              <c:numCache>
                <c:formatCode>General</c:formatCode>
                <c:ptCount val="49"/>
                <c:pt idx="0">
                  <c:v>-1440</c:v>
                </c:pt>
                <c:pt idx="1">
                  <c:v>-1340</c:v>
                </c:pt>
                <c:pt idx="2">
                  <c:v>-1200</c:v>
                </c:pt>
                <c:pt idx="3">
                  <c:v>-1000</c:v>
                </c:pt>
                <c:pt idx="4">
                  <c:v>-500</c:v>
                </c:pt>
                <c:pt idx="5">
                  <c:v>-100</c:v>
                </c:pt>
                <c:pt idx="6">
                  <c:v>300</c:v>
                </c:pt>
                <c:pt idx="7">
                  <c:v>700</c:v>
                </c:pt>
                <c:pt idx="8">
                  <c:v>1100</c:v>
                </c:pt>
                <c:pt idx="9">
                  <c:v>1400</c:v>
                </c:pt>
                <c:pt idx="10">
                  <c:v>1700</c:v>
                </c:pt>
                <c:pt idx="11">
                  <c:v>2000</c:v>
                </c:pt>
                <c:pt idx="12">
                  <c:v>2200</c:v>
                </c:pt>
                <c:pt idx="13">
                  <c:v>2400</c:v>
                </c:pt>
                <c:pt idx="14">
                  <c:v>2600</c:v>
                </c:pt>
                <c:pt idx="15">
                  <c:v>2700</c:v>
                </c:pt>
                <c:pt idx="16">
                  <c:v>2800</c:v>
                </c:pt>
                <c:pt idx="17">
                  <c:v>2883.5049329297999</c:v>
                </c:pt>
                <c:pt idx="18">
                  <c:v>2889.1265908254309</c:v>
                </c:pt>
                <c:pt idx="19">
                  <c:v>2894.8656416148651</c:v>
                </c:pt>
                <c:pt idx="20">
                  <c:v>2900.6205747496178</c:v>
                </c:pt>
                <c:pt idx="21">
                  <c:v>2906.3546557700743</c:v>
                </c:pt>
                <c:pt idx="22">
                  <c:v>2912.0472567999323</c:v>
                </c:pt>
                <c:pt idx="23">
                  <c:v>2917.683177540101</c:v>
                </c:pt>
                <c:pt idx="24">
                  <c:v>2923.249365478146</c:v>
                </c:pt>
                <c:pt idx="25">
                  <c:v>2928.7336619458265</c:v>
                </c:pt>
                <c:pt idx="26">
                  <c:v>2934.1242359618814</c:v>
                </c:pt>
                <c:pt idx="27">
                  <c:v>2939.4092883312455</c:v>
                </c:pt>
                <c:pt idx="28">
                  <c:v>2944.5768729825854</c:v>
                </c:pt>
                <c:pt idx="29">
                  <c:v>2949.614772035628</c:v>
                </c:pt>
                <c:pt idx="30">
                  <c:v>2954.5103952915397</c:v>
                </c:pt>
                <c:pt idx="31">
                  <c:v>2959.2506891467747</c:v>
                </c:pt>
                <c:pt idx="32">
                  <c:v>2963.8220462915424</c:v>
                </c:pt>
                <c:pt idx="33">
                  <c:v>2968.2102104339015</c:v>
                </c:pt>
                <c:pt idx="34">
                  <c:v>2972.4001714937531</c:v>
                </c:pt>
                <c:pt idx="35">
                  <c:v>2976.376047003193</c:v>
                </c:pt>
                <c:pt idx="36">
                  <c:v>2980.1209451522177</c:v>
                </c:pt>
                <c:pt idx="37">
                  <c:v>2983.6168041406063</c:v>
                </c:pt>
                <c:pt idx="38">
                  <c:v>2986.84420122452</c:v>
                </c:pt>
                <c:pt idx="39">
                  <c:v>2989.7821229724177</c:v>
                </c:pt>
                <c:pt idx="40">
                  <c:v>2992.4076855613689</c:v>
                </c:pt>
                <c:pt idx="41">
                  <c:v>2994.6957901088517</c:v>
                </c:pt>
                <c:pt idx="42">
                  <c:v>2996.6186924983299</c:v>
                </c:pt>
                <c:pt idx="43">
                  <c:v>2998.145459038984</c:v>
                </c:pt>
                <c:pt idx="44">
                  <c:v>2999.2412671606289</c:v>
                </c:pt>
                <c:pt idx="45">
                  <c:v>2999.8664917680635</c:v>
                </c:pt>
                <c:pt idx="46">
                  <c:v>3000</c:v>
                </c:pt>
                <c:pt idx="47">
                  <c:v>3000</c:v>
                </c:pt>
              </c:numCache>
            </c:numRef>
          </c:yVal>
          <c:smooth val="1"/>
          <c:extLst>
            <c:ext xmlns:c16="http://schemas.microsoft.com/office/drawing/2014/chart" uri="{C3380CC4-5D6E-409C-BE32-E72D297353CC}">
              <c16:uniqueId val="{00000000-FA3D-43D8-8034-BE64B444E21C}"/>
            </c:ext>
          </c:extLst>
        </c:ser>
        <c:dLbls>
          <c:showLegendKey val="0"/>
          <c:showVal val="0"/>
          <c:showCatName val="0"/>
          <c:showSerName val="0"/>
          <c:showPercent val="0"/>
          <c:showBubbleSize val="0"/>
        </c:dLbls>
        <c:axId val="449574592"/>
        <c:axId val="449562112"/>
      </c:scatterChart>
      <c:valAx>
        <c:axId val="44957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62112"/>
        <c:crosses val="autoZero"/>
        <c:crossBetween val="midCat"/>
      </c:valAx>
      <c:valAx>
        <c:axId val="44956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74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Intensity vs Height</a:t>
            </a:r>
            <a:r>
              <a:rPr lang="en-US" baseline="0"/>
              <a:t> (nm)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Sheet1!$D$83:$D$106</c:f>
              <c:numCache>
                <c:formatCode>General</c:formatCode>
                <c:ptCount val="24"/>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numCache>
            </c:numRef>
          </c:xVal>
          <c:yVal>
            <c:numRef>
              <c:f>Sheet1!$I$83:$I$106</c:f>
              <c:numCache>
                <c:formatCode>0.00E+00</c:formatCode>
                <c:ptCount val="24"/>
                <c:pt idx="0">
                  <c:v>3.9289270024000004E-4</c:v>
                </c:pt>
                <c:pt idx="1">
                  <c:v>3.9248972668999999E-4</c:v>
                </c:pt>
                <c:pt idx="2">
                  <c:v>3.9214814801000008E-4</c:v>
                </c:pt>
                <c:pt idx="3">
                  <c:v>3.9103930995999998E-4</c:v>
                </c:pt>
                <c:pt idx="4">
                  <c:v>3.9174348089000003E-4</c:v>
                </c:pt>
                <c:pt idx="5">
                  <c:v>3.9152194183999996E-4</c:v>
                </c:pt>
                <c:pt idx="6">
                  <c:v>3.9142206343999999E-4</c:v>
                </c:pt>
                <c:pt idx="7">
                  <c:v>3.9061319920999995E-4</c:v>
                </c:pt>
                <c:pt idx="8">
                  <c:v>3.8707928264000008E-4</c:v>
                </c:pt>
                <c:pt idx="9">
                  <c:v>3.9027557500999994E-4</c:v>
                </c:pt>
                <c:pt idx="10">
                  <c:v>3.8941049101000005E-4</c:v>
                </c:pt>
                <c:pt idx="11">
                  <c:v>3.8935840608999997E-4</c:v>
                </c:pt>
                <c:pt idx="12">
                  <c:v>3.8958444324999997E-4</c:v>
                </c:pt>
                <c:pt idx="13">
                  <c:v>3.8857159603999995E-4</c:v>
                </c:pt>
                <c:pt idx="14">
                  <c:v>3.8867503529000004E-4</c:v>
                </c:pt>
                <c:pt idx="15">
                  <c:v>3.8867772563999994E-4</c:v>
                </c:pt>
                <c:pt idx="16">
                  <c:v>3.8801557363999999E-4</c:v>
                </c:pt>
                <c:pt idx="17">
                  <c:v>3.8761151700999997E-4</c:v>
                </c:pt>
                <c:pt idx="18">
                  <c:v>3.8814267841000006E-4</c:v>
                </c:pt>
                <c:pt idx="19">
                  <c:v>3.9016443599999997E-4</c:v>
                </c:pt>
                <c:pt idx="20">
                  <c:v>3.9093385000000007E-4</c:v>
                </c:pt>
                <c:pt idx="21">
                  <c:v>3.9385139399999996E-4</c:v>
                </c:pt>
                <c:pt idx="22">
                  <c:v>4.0150726343999996E-4</c:v>
                </c:pt>
                <c:pt idx="23">
                  <c:v>3.9963453829000003E-4</c:v>
                </c:pt>
              </c:numCache>
            </c:numRef>
          </c:yVal>
          <c:smooth val="0"/>
          <c:extLst>
            <c:ext xmlns:c16="http://schemas.microsoft.com/office/drawing/2014/chart" uri="{C3380CC4-5D6E-409C-BE32-E72D297353CC}">
              <c16:uniqueId val="{00000000-A27B-483C-A449-9C8A50245CF9}"/>
            </c:ext>
          </c:extLst>
        </c:ser>
        <c:dLbls>
          <c:showLegendKey val="0"/>
          <c:showVal val="0"/>
          <c:showCatName val="0"/>
          <c:showSerName val="0"/>
          <c:showPercent val="0"/>
          <c:showBubbleSize val="0"/>
        </c:dLbls>
        <c:axId val="449525632"/>
        <c:axId val="449527072"/>
      </c:scatterChart>
      <c:valAx>
        <c:axId val="44952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7072"/>
        <c:crosses val="autoZero"/>
        <c:crossBetween val="midCat"/>
      </c:valAx>
      <c:valAx>
        <c:axId val="449527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Signal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Sheet1!$D$83:$D$112</c:f>
              <c:numCache>
                <c:formatCode>General</c:formatCode>
                <c:ptCount val="30"/>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Sheet1!$E$83:$E$112</c:f>
              <c:numCache>
                <c:formatCode>General</c:formatCode>
                <c:ptCount val="30"/>
                <c:pt idx="0">
                  <c:v>1.8145000000000001E-2</c:v>
                </c:pt>
                <c:pt idx="1">
                  <c:v>1.8161E-2</c:v>
                </c:pt>
                <c:pt idx="2" formatCode="0.00E+00">
                  <c:v>1.8280000000000001E-2</c:v>
                </c:pt>
                <c:pt idx="3" formatCode="0.00E+00">
                  <c:v>1.8414E-2</c:v>
                </c:pt>
                <c:pt idx="4">
                  <c:v>1.8592000000000001E-2</c:v>
                </c:pt>
                <c:pt idx="5" formatCode="0.00E+00">
                  <c:v>1.8695E-2</c:v>
                </c:pt>
                <c:pt idx="6" formatCode="0.00E+00">
                  <c:v>1.8803E-2</c:v>
                </c:pt>
                <c:pt idx="7">
                  <c:v>1.8873999999999998E-2</c:v>
                </c:pt>
                <c:pt idx="8">
                  <c:v>1.8877000000000001E-2</c:v>
                </c:pt>
                <c:pt idx="9">
                  <c:v>1.9044999999999999E-2</c:v>
                </c:pt>
                <c:pt idx="10">
                  <c:v>1.9109000000000001E-2</c:v>
                </c:pt>
                <c:pt idx="11">
                  <c:v>1.9179999999999999E-2</c:v>
                </c:pt>
                <c:pt idx="12">
                  <c:v>1.9258999999999998E-2</c:v>
                </c:pt>
                <c:pt idx="13">
                  <c:v>1.9297999999999999E-2</c:v>
                </c:pt>
                <c:pt idx="14">
                  <c:v>1.9366000000000001E-2</c:v>
                </c:pt>
                <c:pt idx="15">
                  <c:v>1.9421999999999998E-2</c:v>
                </c:pt>
                <c:pt idx="16">
                  <c:v>1.9696999999999999E-2</c:v>
                </c:pt>
                <c:pt idx="17">
                  <c:v>1.9460999999999999E-2</c:v>
                </c:pt>
                <c:pt idx="18">
                  <c:v>1.8742000000000002E-2</c:v>
                </c:pt>
                <c:pt idx="19">
                  <c:v>1.7579999999999998E-2</c:v>
                </c:pt>
                <c:pt idx="20">
                  <c:v>1.6851000000000001E-2</c:v>
                </c:pt>
                <c:pt idx="21">
                  <c:v>1.0425E-2</c:v>
                </c:pt>
                <c:pt idx="22">
                  <c:v>1.9038E-3</c:v>
                </c:pt>
                <c:pt idx="23">
                  <c:v>-6.8926999999999999E-3</c:v>
                </c:pt>
                <c:pt idx="24">
                  <c:v>-1.1979E-2</c:v>
                </c:pt>
                <c:pt idx="25">
                  <c:v>-1.8603000000000001E-2</c:v>
                </c:pt>
                <c:pt idx="26">
                  <c:v>-1.4663000000000001E-2</c:v>
                </c:pt>
              </c:numCache>
            </c:numRef>
          </c:yVal>
          <c:smooth val="0"/>
          <c:extLst>
            <c:ext xmlns:c16="http://schemas.microsoft.com/office/drawing/2014/chart" uri="{C3380CC4-5D6E-409C-BE32-E72D297353CC}">
              <c16:uniqueId val="{00000000-3E93-4247-A14F-F86EFD6EA509}"/>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Sheet1!$D$83:$D$112</c:f>
              <c:numCache>
                <c:formatCode>General</c:formatCode>
                <c:ptCount val="30"/>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Sheet1!$F$83:$F$112</c:f>
              <c:numCache>
                <c:formatCode>0.00E+00</c:formatCode>
                <c:ptCount val="30"/>
                <c:pt idx="0">
                  <c:v>1.8290343457641481E-2</c:v>
                </c:pt>
                <c:pt idx="1">
                  <c:v>1.8305338483889454E-2</c:v>
                </c:pt>
                <c:pt idx="2">
                  <c:v>1.8419735402263143E-2</c:v>
                </c:pt>
                <c:pt idx="3">
                  <c:v>1.8547218743838304E-2</c:v>
                </c:pt>
                <c:pt idx="4">
                  <c:v>1.8718637413679615E-2</c:v>
                </c:pt>
                <c:pt idx="5">
                  <c:v>1.8816578350877446E-2</c:v>
                </c:pt>
                <c:pt idx="6">
                  <c:v>1.8919066660628495E-2</c:v>
                </c:pt>
                <c:pt idx="7">
                  <c:v>1.8985000378093406E-2</c:v>
                </c:pt>
                <c:pt idx="8">
                  <c:v>1.8981948522372023E-2</c:v>
                </c:pt>
                <c:pt idx="9">
                  <c:v>1.9145251088346579E-2</c:v>
                </c:pt>
                <c:pt idx="10">
                  <c:v>1.9203345876629307E-2</c:v>
                </c:pt>
                <c:pt idx="11">
                  <c:v>1.9269111423536767E-2</c:v>
                </c:pt>
                <c:pt idx="12">
                  <c:v>1.9342407862232354E-2</c:v>
                </c:pt>
                <c:pt idx="13">
                  <c:v>1.9375730225711804E-2</c:v>
                </c:pt>
                <c:pt idx="14">
                  <c:v>1.9437637253529261E-2</c:v>
                </c:pt>
                <c:pt idx="15">
                  <c:v>1.9487870456770001E-2</c:v>
                </c:pt>
                <c:pt idx="16">
                  <c:v>1.9701121043446117E-2</c:v>
                </c:pt>
                <c:pt idx="17">
                  <c:v>1.9403090604652288E-2</c:v>
                </c:pt>
                <c:pt idx="18">
                  <c:v>1.8628526613207737E-2</c:v>
                </c:pt>
                <c:pt idx="19">
                  <c:v>1.7422385324201744E-2</c:v>
                </c:pt>
                <c:pt idx="20">
                  <c:v>1.6677608347679829E-2</c:v>
                </c:pt>
                <c:pt idx="21">
                  <c:v>1.0250431145596973E-2</c:v>
                </c:pt>
                <c:pt idx="22">
                  <c:v>1.8662011402808022E-3</c:v>
                </c:pt>
                <c:pt idx="23">
                  <c:v>-6.7645644760109458E-3</c:v>
                </c:pt>
                <c:pt idx="24">
                  <c:v>-1.1791360670447663E-2</c:v>
                </c:pt>
                <c:pt idx="25">
                  <c:v>-1.8545256796141666E-2</c:v>
                </c:pt>
                <c:pt idx="26">
                  <c:v>-1.4817298473221741E-2</c:v>
                </c:pt>
              </c:numCache>
            </c:numRef>
          </c:yVal>
          <c:smooth val="0"/>
          <c:extLst>
            <c:ext xmlns:c16="http://schemas.microsoft.com/office/drawing/2014/chart" uri="{C3380CC4-5D6E-409C-BE32-E72D297353CC}">
              <c16:uniqueId val="{00000001-3E93-4247-A14F-F86EFD6EA509}"/>
            </c:ext>
          </c:extLst>
        </c:ser>
        <c:dLbls>
          <c:showLegendKey val="0"/>
          <c:showVal val="0"/>
          <c:showCatName val="0"/>
          <c:showSerName val="0"/>
          <c:showPercent val="0"/>
          <c:showBubbleSize val="0"/>
        </c:dLbls>
        <c:axId val="449575552"/>
        <c:axId val="449576512"/>
      </c:scatterChart>
      <c:valAx>
        <c:axId val="44957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76512"/>
        <c:crosses val="autoZero"/>
        <c:crossBetween val="midCat"/>
      </c:valAx>
      <c:valAx>
        <c:axId val="44957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75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Sheet1!$D$83:$D$113</c:f>
              <c:numCache>
                <c:formatCode>General</c:formatCode>
                <c:ptCount val="31"/>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Sheet1!$G$83:$G$113</c:f>
              <c:numCache>
                <c:formatCode>General</c:formatCode>
                <c:ptCount val="31"/>
                <c:pt idx="0" formatCode="0.00E+00">
                  <c:v>7.9781999999999995E-3</c:v>
                </c:pt>
                <c:pt idx="1">
                  <c:v>7.9162999999999994E-3</c:v>
                </c:pt>
                <c:pt idx="2" formatCode="0.00E+00">
                  <c:v>7.6150999999999996E-3</c:v>
                </c:pt>
                <c:pt idx="3">
                  <c:v>7.2085999999999999E-3</c:v>
                </c:pt>
                <c:pt idx="4" formatCode="0.00E+00">
                  <c:v>6.7882999999999997E-3</c:v>
                </c:pt>
                <c:pt idx="5" formatCode="0.00E+00">
                  <c:v>6.4821999999999996E-3</c:v>
                </c:pt>
                <c:pt idx="6" formatCode="0.00E+00">
                  <c:v>6.1538000000000001E-3</c:v>
                </c:pt>
                <c:pt idx="7">
                  <c:v>5.8639E-3</c:v>
                </c:pt>
                <c:pt idx="8" formatCode="0.00E+00">
                  <c:v>5.5442E-3</c:v>
                </c:pt>
                <c:pt idx="9">
                  <c:v>5.2500999999999997E-3</c:v>
                </c:pt>
                <c:pt idx="10">
                  <c:v>4.9251E-3</c:v>
                </c:pt>
                <c:pt idx="11">
                  <c:v>4.6353000000000002E-3</c:v>
                </c:pt>
                <c:pt idx="12">
                  <c:v>4.3214999999999998E-3</c:v>
                </c:pt>
                <c:pt idx="13">
                  <c:v>4.0197999999999996E-3</c:v>
                </c:pt>
                <c:pt idx="14">
                  <c:v>3.6922999999999999E-3</c:v>
                </c:pt>
                <c:pt idx="15">
                  <c:v>3.3858E-3</c:v>
                </c:pt>
                <c:pt idx="16" formatCode="0.00E+00">
                  <c:v>2.0919999999999999E-4</c:v>
                </c:pt>
                <c:pt idx="17" formatCode="0.00E+00">
                  <c:v>-2.9800999999999998E-3</c:v>
                </c:pt>
                <c:pt idx="18" formatCode="0.00E+00">
                  <c:v>-6.0729E-3</c:v>
                </c:pt>
                <c:pt idx="19">
                  <c:v>-9.0060000000000001E-3</c:v>
                </c:pt>
                <c:pt idx="20">
                  <c:v>-1.0343E-2</c:v>
                </c:pt>
                <c:pt idx="21">
                  <c:v>-1.6886999999999999E-2</c:v>
                </c:pt>
                <c:pt idx="22">
                  <c:v>-1.9946999999999999E-2</c:v>
                </c:pt>
                <c:pt idx="23">
                  <c:v>-1.8765E-2</c:v>
                </c:pt>
                <c:pt idx="24">
                  <c:v>-1.5788E-2</c:v>
                </c:pt>
                <c:pt idx="25">
                  <c:v>-3.1088000000000001E-3</c:v>
                </c:pt>
                <c:pt idx="26">
                  <c:v>1.0468E-2</c:v>
                </c:pt>
              </c:numCache>
            </c:numRef>
          </c:yVal>
          <c:smooth val="0"/>
          <c:extLst>
            <c:ext xmlns:c16="http://schemas.microsoft.com/office/drawing/2014/chart" uri="{C3380CC4-5D6E-409C-BE32-E72D297353CC}">
              <c16:uniqueId val="{00000000-6BD8-4AC3-BACC-5F5E782B7648}"/>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Sheet1!$D$83:$D$113</c:f>
              <c:numCache>
                <c:formatCode>General</c:formatCode>
                <c:ptCount val="31"/>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Sheet1!$H$83:$H$113</c:f>
              <c:numCache>
                <c:formatCode>0.00E+00</c:formatCode>
                <c:ptCount val="31"/>
                <c:pt idx="0">
                  <c:v>7.9781999999999995E-3</c:v>
                </c:pt>
                <c:pt idx="1">
                  <c:v>7.9162999999999994E-3</c:v>
                </c:pt>
                <c:pt idx="2">
                  <c:v>7.6150999999999996E-3</c:v>
                </c:pt>
                <c:pt idx="3">
                  <c:v>7.2085999999999999E-3</c:v>
                </c:pt>
                <c:pt idx="4">
                  <c:v>6.7882999999999997E-3</c:v>
                </c:pt>
                <c:pt idx="5">
                  <c:v>6.4821999999999996E-3</c:v>
                </c:pt>
                <c:pt idx="6">
                  <c:v>6.1538000000000001E-3</c:v>
                </c:pt>
                <c:pt idx="7">
                  <c:v>5.8639E-3</c:v>
                </c:pt>
                <c:pt idx="8">
                  <c:v>5.5442E-3</c:v>
                </c:pt>
                <c:pt idx="9">
                  <c:v>5.2500999999999997E-3</c:v>
                </c:pt>
                <c:pt idx="10">
                  <c:v>4.9251E-3</c:v>
                </c:pt>
                <c:pt idx="11">
                  <c:v>4.6353000000000002E-3</c:v>
                </c:pt>
                <c:pt idx="12">
                  <c:v>4.3214999999999998E-3</c:v>
                </c:pt>
                <c:pt idx="13">
                  <c:v>4.0197999999999996E-3</c:v>
                </c:pt>
                <c:pt idx="14">
                  <c:v>3.6922999999999999E-3</c:v>
                </c:pt>
                <c:pt idx="15">
                  <c:v>3.3858E-3</c:v>
                </c:pt>
                <c:pt idx="16">
                  <c:v>2.0919999999999999E-4</c:v>
                </c:pt>
                <c:pt idx="17">
                  <c:v>-2.9800999999999998E-3</c:v>
                </c:pt>
                <c:pt idx="18">
                  <c:v>-6.0729E-3</c:v>
                </c:pt>
                <c:pt idx="19">
                  <c:v>-9.0060000000000001E-3</c:v>
                </c:pt>
                <c:pt idx="20">
                  <c:v>-1.0343E-2</c:v>
                </c:pt>
                <c:pt idx="21">
                  <c:v>-1.6886999999999999E-2</c:v>
                </c:pt>
                <c:pt idx="22">
                  <c:v>-1.9946999999999999E-2</c:v>
                </c:pt>
                <c:pt idx="23">
                  <c:v>-1.8765E-2</c:v>
                </c:pt>
                <c:pt idx="24">
                  <c:v>-1.5788E-2</c:v>
                </c:pt>
                <c:pt idx="25">
                  <c:v>-3.1088000000000001E-3</c:v>
                </c:pt>
                <c:pt idx="26">
                  <c:v>1.0468E-2</c:v>
                </c:pt>
              </c:numCache>
            </c:numRef>
          </c:yVal>
          <c:smooth val="0"/>
          <c:extLst>
            <c:ext xmlns:c16="http://schemas.microsoft.com/office/drawing/2014/chart" uri="{C3380CC4-5D6E-409C-BE32-E72D297353CC}">
              <c16:uniqueId val="{00000001-6BD8-4AC3-BACC-5F5E782B7648}"/>
            </c:ext>
          </c:extLst>
        </c:ser>
        <c:dLbls>
          <c:showLegendKey val="0"/>
          <c:showVal val="0"/>
          <c:showCatName val="0"/>
          <c:showSerName val="0"/>
          <c:showPercent val="0"/>
          <c:showBubbleSize val="0"/>
        </c:dLbls>
        <c:axId val="449636992"/>
        <c:axId val="449637952"/>
      </c:scatterChart>
      <c:valAx>
        <c:axId val="4496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37952"/>
        <c:crosses val="autoZero"/>
        <c:crossBetween val="midCat"/>
      </c:valAx>
      <c:valAx>
        <c:axId val="44963795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369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Sheet1!$D$83:$D$109</c:f>
              <c:numCache>
                <c:formatCode>General</c:formatCode>
                <c:ptCount val="27"/>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Sheet1!$J$83:$J$109</c:f>
              <c:numCache>
                <c:formatCode>General</c:formatCode>
                <c:ptCount val="27"/>
                <c:pt idx="0">
                  <c:v>1.8073595467935188E-2</c:v>
                </c:pt>
                <c:pt idx="1">
                  <c:v>1.8096913923142419E-2</c:v>
                </c:pt>
                <c:pt idx="2">
                  <c:v>1.8210865897222955E-2</c:v>
                </c:pt>
                <c:pt idx="3">
                  <c:v>1.836296600786173E-2</c:v>
                </c:pt>
                <c:pt idx="4">
                  <c:v>1.8506329483463809E-2</c:v>
                </c:pt>
                <c:pt idx="5">
                  <c:v>1.8603345057122793E-2</c:v>
                </c:pt>
                <c:pt idx="6">
                  <c:v>1.8695844726086715E-2</c:v>
                </c:pt>
                <c:pt idx="7">
                  <c:v>1.8783806036345919E-2</c:v>
                </c:pt>
                <c:pt idx="8">
                  <c:v>1.8867207635563359E-2</c:v>
                </c:pt>
                <c:pt idx="9">
                  <c:v>1.8946029278257785E-2</c:v>
                </c:pt>
                <c:pt idx="10">
                  <c:v>1.9020251830718288E-2</c:v>
                </c:pt>
                <c:pt idx="11">
                  <c:v>1.9089857275648936E-2</c:v>
                </c:pt>
                <c:pt idx="12">
                  <c:v>1.9154828716542432E-2</c:v>
                </c:pt>
                <c:pt idx="13">
                  <c:v>1.9215150381781679E-2</c:v>
                </c:pt>
                <c:pt idx="14">
                  <c:v>1.9270807628468296E-2</c:v>
                </c:pt>
                <c:pt idx="15">
                  <c:v>1.9321786945977124E-2</c:v>
                </c:pt>
                <c:pt idx="16">
                  <c:v>1.9572136989915966E-2</c:v>
                </c:pt>
                <c:pt idx="17">
                  <c:v>1.9348330179824499E-2</c:v>
                </c:pt>
                <c:pt idx="18">
                  <c:v>1.8655788485364914E-2</c:v>
                </c:pt>
                <c:pt idx="19">
                  <c:v>1.7511289501712383E-2</c:v>
                </c:pt>
                <c:pt idx="20">
                  <c:v>1.6777809555301452E-2</c:v>
                </c:pt>
                <c:pt idx="21">
                  <c:v>1.0436878652521872E-2</c:v>
                </c:pt>
                <c:pt idx="22">
                  <c:v>1.8569468089372025E-3</c:v>
                </c:pt>
                <c:pt idx="23">
                  <c:v>-7.1213518060413913E-3</c:v>
                </c:pt>
                <c:pt idx="24">
                  <c:v>-1.2367803978271268E-2</c:v>
                </c:pt>
                <c:pt idx="25">
                  <c:v>-1.9458782358244955E-2</c:v>
                </c:pt>
                <c:pt idx="26">
                  <c:v>-1.532589877294855E-2</c:v>
                </c:pt>
              </c:numCache>
            </c:numRef>
          </c:yVal>
          <c:smooth val="0"/>
          <c:extLst>
            <c:ext xmlns:c16="http://schemas.microsoft.com/office/drawing/2014/chart" uri="{C3380CC4-5D6E-409C-BE32-E72D297353CC}">
              <c16:uniqueId val="{00000000-D30F-46D5-9B84-551281B0A19C}"/>
            </c:ext>
          </c:extLst>
        </c:ser>
        <c:dLbls>
          <c:showLegendKey val="0"/>
          <c:showVal val="0"/>
          <c:showCatName val="0"/>
          <c:showSerName val="0"/>
          <c:showPercent val="0"/>
          <c:showBubbleSize val="0"/>
        </c:dLbls>
        <c:axId val="449612032"/>
        <c:axId val="449612512"/>
      </c:scatterChart>
      <c:valAx>
        <c:axId val="44961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2512"/>
        <c:crosses val="autoZero"/>
        <c:crossBetween val="midCat"/>
      </c:valAx>
      <c:valAx>
        <c:axId val="44961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2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Sheet1!$D$83:$D$109</c:f>
              <c:numCache>
                <c:formatCode>General</c:formatCode>
                <c:ptCount val="27"/>
                <c:pt idx="0">
                  <c:v>2</c:v>
                </c:pt>
                <c:pt idx="1">
                  <c:v>4</c:v>
                </c:pt>
                <c:pt idx="2">
                  <c:v>14</c:v>
                </c:pt>
                <c:pt idx="3">
                  <c:v>28</c:v>
                </c:pt>
                <c:pt idx="4">
                  <c:v>42</c:v>
                </c:pt>
                <c:pt idx="5">
                  <c:v>52</c:v>
                </c:pt>
                <c:pt idx="6">
                  <c:v>62</c:v>
                </c:pt>
                <c:pt idx="7">
                  <c:v>72</c:v>
                </c:pt>
                <c:pt idx="8">
                  <c:v>82</c:v>
                </c:pt>
                <c:pt idx="9">
                  <c:v>92</c:v>
                </c:pt>
                <c:pt idx="10">
                  <c:v>102</c:v>
                </c:pt>
                <c:pt idx="11">
                  <c:v>112</c:v>
                </c:pt>
                <c:pt idx="12">
                  <c:v>122</c:v>
                </c:pt>
                <c:pt idx="13">
                  <c:v>132</c:v>
                </c:pt>
                <c:pt idx="14">
                  <c:v>142</c:v>
                </c:pt>
                <c:pt idx="15">
                  <c:v>152</c:v>
                </c:pt>
                <c:pt idx="16">
                  <c:v>252</c:v>
                </c:pt>
                <c:pt idx="17">
                  <c:v>352</c:v>
                </c:pt>
                <c:pt idx="18">
                  <c:v>452</c:v>
                </c:pt>
                <c:pt idx="19">
                  <c:v>552</c:v>
                </c:pt>
                <c:pt idx="20">
                  <c:v>602</c:v>
                </c:pt>
                <c:pt idx="21">
                  <c:v>902</c:v>
                </c:pt>
                <c:pt idx="22">
                  <c:v>1202</c:v>
                </c:pt>
                <c:pt idx="23">
                  <c:v>1502</c:v>
                </c:pt>
                <c:pt idx="24">
                  <c:v>1702</c:v>
                </c:pt>
                <c:pt idx="25">
                  <c:v>2202</c:v>
                </c:pt>
                <c:pt idx="26">
                  <c:v>2702</c:v>
                </c:pt>
              </c:numCache>
            </c:numRef>
          </c:xVal>
          <c:yVal>
            <c:numRef>
              <c:f>Sheet1!$L$83:$L$109</c:f>
              <c:numCache>
                <c:formatCode>0.00E+00</c:formatCode>
                <c:ptCount val="27"/>
                <c:pt idx="0">
                  <c:v>7.8028847475728269E-3</c:v>
                </c:pt>
                <c:pt idx="1">
                  <c:v>7.7460888224770309E-3</c:v>
                </c:pt>
                <c:pt idx="2">
                  <c:v>7.4610293048321275E-3</c:v>
                </c:pt>
                <c:pt idx="3">
                  <c:v>7.0590198537370591E-3</c:v>
                </c:pt>
                <c:pt idx="4">
                  <c:v>6.6537639649432391E-3</c:v>
                </c:pt>
                <c:pt idx="5">
                  <c:v>6.3624110422999909E-3</c:v>
                </c:pt>
                <c:pt idx="6">
                  <c:v>6.0695651998702209E-3</c:v>
                </c:pt>
                <c:pt idx="7">
                  <c:v>5.7752951530119223E-3</c:v>
                </c:pt>
                <c:pt idx="8">
                  <c:v>5.4796699512682095E-3</c:v>
                </c:pt>
                <c:pt idx="9">
                  <c:v>5.1827589621650317E-3</c:v>
                </c:pt>
                <c:pt idx="10">
                  <c:v>4.8846318549343112E-3</c:v>
                </c:pt>
                <c:pt idx="11">
                  <c:v>4.585358584166266E-3</c:v>
                </c:pt>
                <c:pt idx="12">
                  <c:v>4.2850093733947979E-3</c:v>
                </c:pt>
                <c:pt idx="13">
                  <c:v>3.9836546986197589E-3</c:v>
                </c:pt>
                <c:pt idx="14">
                  <c:v>3.6813652717699501E-3</c:v>
                </c:pt>
                <c:pt idx="15">
                  <c:v>3.3782120241108399E-3</c:v>
                </c:pt>
                <c:pt idx="16">
                  <c:v>3.1489765686652544E-4</c:v>
                </c:pt>
                <c:pt idx="17">
                  <c:v>-2.7557913919732118E-3</c:v>
                </c:pt>
                <c:pt idx="18">
                  <c:v>-5.7619417450937137E-3</c:v>
                </c:pt>
                <c:pt idx="19">
                  <c:v>-8.6331514760315184E-3</c:v>
                </c:pt>
                <c:pt idx="20">
                  <c:v>-9.996973396512971E-3</c:v>
                </c:pt>
                <c:pt idx="21">
                  <c:v>-1.6695582091635932E-2</c:v>
                </c:pt>
                <c:pt idx="22">
                  <c:v>-1.9929928751220648E-2</c:v>
                </c:pt>
                <c:pt idx="23">
                  <c:v>-1.9028900245993099E-2</c:v>
                </c:pt>
                <c:pt idx="24">
                  <c:v>-1.6187761740600562E-2</c:v>
                </c:pt>
                <c:pt idx="25">
                  <c:v>-3.4046358905127907E-3</c:v>
                </c:pt>
                <c:pt idx="26">
                  <c:v>1.1279998855168494E-2</c:v>
                </c:pt>
              </c:numCache>
            </c:numRef>
          </c:yVal>
          <c:smooth val="0"/>
          <c:extLst>
            <c:ext xmlns:c16="http://schemas.microsoft.com/office/drawing/2014/chart" uri="{C3380CC4-5D6E-409C-BE32-E72D297353CC}">
              <c16:uniqueId val="{00000000-1852-4451-AE32-85BD2EBDE57F}"/>
            </c:ext>
          </c:extLst>
        </c:ser>
        <c:dLbls>
          <c:showLegendKey val="0"/>
          <c:showVal val="0"/>
          <c:showCatName val="0"/>
          <c:showSerName val="0"/>
          <c:showPercent val="0"/>
          <c:showBubbleSize val="0"/>
        </c:dLbls>
        <c:axId val="449541952"/>
        <c:axId val="449542432"/>
      </c:scatterChart>
      <c:valAx>
        <c:axId val="44954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42432"/>
        <c:crosses val="autoZero"/>
        <c:crossBetween val="midCat"/>
      </c:valAx>
      <c:valAx>
        <c:axId val="44954243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41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Silicon</a:t>
            </a:r>
            <a:r>
              <a:rPr lang="en-US" baseline="0"/>
              <a:t> Nitride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1.8716400320216405E-3"/>
                  <c:y val="-0.31430345653510033"/>
                </c:manualLayout>
              </c:layout>
              <c:numFmt formatCode="#,##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Focused!$A$1:$A$164</c:f>
              <c:numCache>
                <c:formatCode>General</c:formatCode>
                <c:ptCount val="164"/>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pt idx="49">
                  <c:v>53</c:v>
                </c:pt>
                <c:pt idx="50">
                  <c:v>54</c:v>
                </c:pt>
                <c:pt idx="51">
                  <c:v>55</c:v>
                </c:pt>
                <c:pt idx="52">
                  <c:v>56</c:v>
                </c:pt>
                <c:pt idx="53">
                  <c:v>57</c:v>
                </c:pt>
                <c:pt idx="54">
                  <c:v>58</c:v>
                </c:pt>
                <c:pt idx="55">
                  <c:v>59</c:v>
                </c:pt>
                <c:pt idx="56">
                  <c:v>60</c:v>
                </c:pt>
                <c:pt idx="57">
                  <c:v>61</c:v>
                </c:pt>
                <c:pt idx="58">
                  <c:v>62</c:v>
                </c:pt>
                <c:pt idx="59">
                  <c:v>63</c:v>
                </c:pt>
                <c:pt idx="60">
                  <c:v>64</c:v>
                </c:pt>
                <c:pt idx="61">
                  <c:v>65</c:v>
                </c:pt>
                <c:pt idx="62">
                  <c:v>66</c:v>
                </c:pt>
                <c:pt idx="63">
                  <c:v>67</c:v>
                </c:pt>
                <c:pt idx="64">
                  <c:v>68</c:v>
                </c:pt>
                <c:pt idx="65">
                  <c:v>69</c:v>
                </c:pt>
                <c:pt idx="66">
                  <c:v>70</c:v>
                </c:pt>
                <c:pt idx="67">
                  <c:v>71</c:v>
                </c:pt>
                <c:pt idx="68">
                  <c:v>72</c:v>
                </c:pt>
                <c:pt idx="69">
                  <c:v>73</c:v>
                </c:pt>
                <c:pt idx="70">
                  <c:v>74</c:v>
                </c:pt>
                <c:pt idx="71">
                  <c:v>75</c:v>
                </c:pt>
                <c:pt idx="72">
                  <c:v>76</c:v>
                </c:pt>
                <c:pt idx="73">
                  <c:v>77</c:v>
                </c:pt>
                <c:pt idx="74">
                  <c:v>78</c:v>
                </c:pt>
                <c:pt idx="75">
                  <c:v>79</c:v>
                </c:pt>
                <c:pt idx="76">
                  <c:v>80</c:v>
                </c:pt>
                <c:pt idx="77">
                  <c:v>81</c:v>
                </c:pt>
                <c:pt idx="78">
                  <c:v>82</c:v>
                </c:pt>
                <c:pt idx="79">
                  <c:v>83</c:v>
                </c:pt>
                <c:pt idx="80">
                  <c:v>84</c:v>
                </c:pt>
                <c:pt idx="81">
                  <c:v>85</c:v>
                </c:pt>
                <c:pt idx="82">
                  <c:v>86</c:v>
                </c:pt>
                <c:pt idx="83">
                  <c:v>87</c:v>
                </c:pt>
                <c:pt idx="84">
                  <c:v>88</c:v>
                </c:pt>
                <c:pt idx="85">
                  <c:v>89</c:v>
                </c:pt>
                <c:pt idx="86">
                  <c:v>90</c:v>
                </c:pt>
                <c:pt idx="87">
                  <c:v>91</c:v>
                </c:pt>
                <c:pt idx="88">
                  <c:v>92</c:v>
                </c:pt>
                <c:pt idx="89">
                  <c:v>93</c:v>
                </c:pt>
                <c:pt idx="90">
                  <c:v>94</c:v>
                </c:pt>
                <c:pt idx="91">
                  <c:v>95</c:v>
                </c:pt>
                <c:pt idx="92">
                  <c:v>96</c:v>
                </c:pt>
                <c:pt idx="93">
                  <c:v>97</c:v>
                </c:pt>
                <c:pt idx="94">
                  <c:v>98</c:v>
                </c:pt>
                <c:pt idx="95">
                  <c:v>99</c:v>
                </c:pt>
                <c:pt idx="96">
                  <c:v>100</c:v>
                </c:pt>
                <c:pt idx="97">
                  <c:v>101</c:v>
                </c:pt>
                <c:pt idx="98">
                  <c:v>102</c:v>
                </c:pt>
                <c:pt idx="99">
                  <c:v>112</c:v>
                </c:pt>
                <c:pt idx="100">
                  <c:v>122</c:v>
                </c:pt>
                <c:pt idx="101">
                  <c:v>132</c:v>
                </c:pt>
                <c:pt idx="102">
                  <c:v>142</c:v>
                </c:pt>
                <c:pt idx="103">
                  <c:v>152</c:v>
                </c:pt>
                <c:pt idx="104">
                  <c:v>162</c:v>
                </c:pt>
                <c:pt idx="105">
                  <c:v>172</c:v>
                </c:pt>
                <c:pt idx="106">
                  <c:v>182</c:v>
                </c:pt>
                <c:pt idx="107">
                  <c:v>192</c:v>
                </c:pt>
                <c:pt idx="108">
                  <c:v>202</c:v>
                </c:pt>
                <c:pt idx="109">
                  <c:v>212</c:v>
                </c:pt>
                <c:pt idx="110">
                  <c:v>222</c:v>
                </c:pt>
                <c:pt idx="111">
                  <c:v>232</c:v>
                </c:pt>
                <c:pt idx="112">
                  <c:v>242</c:v>
                </c:pt>
                <c:pt idx="113">
                  <c:v>252</c:v>
                </c:pt>
                <c:pt idx="114">
                  <c:v>262</c:v>
                </c:pt>
                <c:pt idx="115">
                  <c:v>272</c:v>
                </c:pt>
                <c:pt idx="116">
                  <c:v>282</c:v>
                </c:pt>
                <c:pt idx="117">
                  <c:v>292</c:v>
                </c:pt>
                <c:pt idx="118">
                  <c:v>302</c:v>
                </c:pt>
                <c:pt idx="119">
                  <c:v>312</c:v>
                </c:pt>
                <c:pt idx="120">
                  <c:v>322</c:v>
                </c:pt>
                <c:pt idx="121">
                  <c:v>332</c:v>
                </c:pt>
                <c:pt idx="122">
                  <c:v>342</c:v>
                </c:pt>
                <c:pt idx="123">
                  <c:v>352</c:v>
                </c:pt>
                <c:pt idx="124">
                  <c:v>362</c:v>
                </c:pt>
                <c:pt idx="125">
                  <c:v>372</c:v>
                </c:pt>
                <c:pt idx="126">
                  <c:v>382</c:v>
                </c:pt>
                <c:pt idx="127">
                  <c:v>392</c:v>
                </c:pt>
                <c:pt idx="128">
                  <c:v>402</c:v>
                </c:pt>
                <c:pt idx="129">
                  <c:v>412</c:v>
                </c:pt>
                <c:pt idx="130">
                  <c:v>422</c:v>
                </c:pt>
                <c:pt idx="131">
                  <c:v>432</c:v>
                </c:pt>
                <c:pt idx="132">
                  <c:v>442</c:v>
                </c:pt>
                <c:pt idx="133">
                  <c:v>452</c:v>
                </c:pt>
                <c:pt idx="134">
                  <c:v>462</c:v>
                </c:pt>
                <c:pt idx="135">
                  <c:v>472</c:v>
                </c:pt>
                <c:pt idx="136">
                  <c:v>482</c:v>
                </c:pt>
                <c:pt idx="137">
                  <c:v>492</c:v>
                </c:pt>
                <c:pt idx="138">
                  <c:v>502</c:v>
                </c:pt>
                <c:pt idx="139">
                  <c:v>602</c:v>
                </c:pt>
                <c:pt idx="140">
                  <c:v>702</c:v>
                </c:pt>
                <c:pt idx="141">
                  <c:v>802</c:v>
                </c:pt>
                <c:pt idx="142">
                  <c:v>902</c:v>
                </c:pt>
                <c:pt idx="143">
                  <c:v>1002</c:v>
                </c:pt>
                <c:pt idx="144">
                  <c:v>1102</c:v>
                </c:pt>
                <c:pt idx="145">
                  <c:v>1202</c:v>
                </c:pt>
                <c:pt idx="146">
                  <c:v>1302</c:v>
                </c:pt>
                <c:pt idx="147">
                  <c:v>1402</c:v>
                </c:pt>
                <c:pt idx="148">
                  <c:v>1502</c:v>
                </c:pt>
                <c:pt idx="149">
                  <c:v>1602</c:v>
                </c:pt>
                <c:pt idx="150">
                  <c:v>1702</c:v>
                </c:pt>
                <c:pt idx="151">
                  <c:v>1802</c:v>
                </c:pt>
                <c:pt idx="152">
                  <c:v>1902</c:v>
                </c:pt>
                <c:pt idx="153">
                  <c:v>2002</c:v>
                </c:pt>
                <c:pt idx="154">
                  <c:v>2102</c:v>
                </c:pt>
                <c:pt idx="155">
                  <c:v>2202</c:v>
                </c:pt>
                <c:pt idx="156">
                  <c:v>2302</c:v>
                </c:pt>
                <c:pt idx="157">
                  <c:v>2402</c:v>
                </c:pt>
                <c:pt idx="158">
                  <c:v>2502</c:v>
                </c:pt>
                <c:pt idx="159">
                  <c:v>2602</c:v>
                </c:pt>
                <c:pt idx="160">
                  <c:v>2702</c:v>
                </c:pt>
                <c:pt idx="161">
                  <c:v>2802</c:v>
                </c:pt>
                <c:pt idx="162">
                  <c:v>2902</c:v>
                </c:pt>
                <c:pt idx="163">
                  <c:v>3002</c:v>
                </c:pt>
              </c:numCache>
            </c:numRef>
          </c:xVal>
          <c:yVal>
            <c:numRef>
              <c:f>Focused!$B$1:$B$164</c:f>
              <c:numCache>
                <c:formatCode>General</c:formatCode>
                <c:ptCount val="164"/>
                <c:pt idx="0">
                  <c:v>5.8001733154399403E-4</c:v>
                </c:pt>
                <c:pt idx="1">
                  <c:v>5.81150415442476E-4</c:v>
                </c:pt>
                <c:pt idx="2">
                  <c:v>5.8033509425916999E-4</c:v>
                </c:pt>
                <c:pt idx="3">
                  <c:v>5.7978181219790802E-4</c:v>
                </c:pt>
                <c:pt idx="4">
                  <c:v>5.79492900143577E-4</c:v>
                </c:pt>
                <c:pt idx="5">
                  <c:v>5.7875554804798896E-4</c:v>
                </c:pt>
                <c:pt idx="6">
                  <c:v>5.7803744523658501E-4</c:v>
                </c:pt>
                <c:pt idx="7">
                  <c:v>5.7730598793659599E-4</c:v>
                </c:pt>
                <c:pt idx="8">
                  <c:v>5.7659643598773698E-4</c:v>
                </c:pt>
                <c:pt idx="9">
                  <c:v>5.76258260791675E-4</c:v>
                </c:pt>
                <c:pt idx="10">
                  <c:v>5.7569311325493696E-4</c:v>
                </c:pt>
                <c:pt idx="11">
                  <c:v>5.7503074697609505E-4</c:v>
                </c:pt>
                <c:pt idx="12">
                  <c:v>5.7526039950982395E-4</c:v>
                </c:pt>
                <c:pt idx="13">
                  <c:v>5.74159947291795E-4</c:v>
                </c:pt>
                <c:pt idx="14">
                  <c:v>5.7344084514703399E-4</c:v>
                </c:pt>
                <c:pt idx="15">
                  <c:v>5.7296387421754895E-4</c:v>
                </c:pt>
                <c:pt idx="16">
                  <c:v>5.7325902519734704E-4</c:v>
                </c:pt>
                <c:pt idx="17">
                  <c:v>5.6869041220905297E-4</c:v>
                </c:pt>
                <c:pt idx="18">
                  <c:v>5.6811944704586003E-4</c:v>
                </c:pt>
                <c:pt idx="19">
                  <c:v>5.7150608875187895E-4</c:v>
                </c:pt>
                <c:pt idx="20">
                  <c:v>5.70463720834095E-4</c:v>
                </c:pt>
                <c:pt idx="21">
                  <c:v>5.7001723806796305E-4</c:v>
                </c:pt>
                <c:pt idx="22">
                  <c:v>5.6908941896578399E-4</c:v>
                </c:pt>
                <c:pt idx="23">
                  <c:v>5.6867416834022199E-4</c:v>
                </c:pt>
                <c:pt idx="24">
                  <c:v>5.6804936393354904E-4</c:v>
                </c:pt>
                <c:pt idx="25">
                  <c:v>5.6822205841821098E-4</c:v>
                </c:pt>
                <c:pt idx="26">
                  <c:v>5.67270439746916E-4</c:v>
                </c:pt>
                <c:pt idx="27">
                  <c:v>5.6682774325824998E-4</c:v>
                </c:pt>
                <c:pt idx="28">
                  <c:v>5.6596166911512997E-4</c:v>
                </c:pt>
                <c:pt idx="29">
                  <c:v>5.6538612470827395E-4</c:v>
                </c:pt>
                <c:pt idx="30">
                  <c:v>5.6440474179745496E-4</c:v>
                </c:pt>
                <c:pt idx="31">
                  <c:v>5.6281361390389604E-4</c:v>
                </c:pt>
                <c:pt idx="32">
                  <c:v>5.6191635239640696E-4</c:v>
                </c:pt>
                <c:pt idx="33">
                  <c:v>5.6105143628236995E-4</c:v>
                </c:pt>
                <c:pt idx="34">
                  <c:v>5.6058404255674105E-4</c:v>
                </c:pt>
                <c:pt idx="35">
                  <c:v>5.6044640187048495E-4</c:v>
                </c:pt>
                <c:pt idx="36">
                  <c:v>5.5990499937381305E-4</c:v>
                </c:pt>
                <c:pt idx="37">
                  <c:v>5.5861367302822702E-4</c:v>
                </c:pt>
                <c:pt idx="38">
                  <c:v>5.5852188224839801E-4</c:v>
                </c:pt>
                <c:pt idx="39">
                  <c:v>5.5806785783205201E-4</c:v>
                </c:pt>
                <c:pt idx="40">
                  <c:v>5.5541016973057096E-4</c:v>
                </c:pt>
                <c:pt idx="41">
                  <c:v>5.5426938186570196E-4</c:v>
                </c:pt>
                <c:pt idx="42">
                  <c:v>5.5290574094080201E-4</c:v>
                </c:pt>
                <c:pt idx="43">
                  <c:v>5.5215846610719599E-4</c:v>
                </c:pt>
                <c:pt idx="44">
                  <c:v>5.5207961821804297E-4</c:v>
                </c:pt>
                <c:pt idx="45">
                  <c:v>5.5115109019509298E-4</c:v>
                </c:pt>
                <c:pt idx="46">
                  <c:v>5.5072561070080997E-4</c:v>
                </c:pt>
                <c:pt idx="47">
                  <c:v>5.4976275950136704E-4</c:v>
                </c:pt>
                <c:pt idx="48">
                  <c:v>5.4936091632118997E-4</c:v>
                </c:pt>
                <c:pt idx="49">
                  <c:v>5.4880809289621797E-4</c:v>
                </c:pt>
                <c:pt idx="50">
                  <c:v>5.4822155497740496E-4</c:v>
                </c:pt>
                <c:pt idx="51">
                  <c:v>5.4730936950507503E-4</c:v>
                </c:pt>
                <c:pt idx="52">
                  <c:v>5.4599643397493496E-4</c:v>
                </c:pt>
                <c:pt idx="53">
                  <c:v>5.4554687447249599E-4</c:v>
                </c:pt>
                <c:pt idx="54">
                  <c:v>5.4464671504429599E-4</c:v>
                </c:pt>
                <c:pt idx="55">
                  <c:v>5.4402766517427795E-4</c:v>
                </c:pt>
                <c:pt idx="56">
                  <c:v>5.4337577415760599E-4</c:v>
                </c:pt>
                <c:pt idx="57">
                  <c:v>5.4308725363454895E-4</c:v>
                </c:pt>
                <c:pt idx="58">
                  <c:v>5.4253315233906399E-4</c:v>
                </c:pt>
                <c:pt idx="59">
                  <c:v>5.4238350758204997E-4</c:v>
                </c:pt>
                <c:pt idx="60">
                  <c:v>5.4120921532755501E-4</c:v>
                </c:pt>
                <c:pt idx="61">
                  <c:v>5.4043712986209498E-4</c:v>
                </c:pt>
                <c:pt idx="62">
                  <c:v>5.4399083883805701E-4</c:v>
                </c:pt>
                <c:pt idx="63">
                  <c:v>5.43281424304017E-4</c:v>
                </c:pt>
                <c:pt idx="64">
                  <c:v>5.4306529191074603E-4</c:v>
                </c:pt>
                <c:pt idx="65">
                  <c:v>5.4213703127906098E-4</c:v>
                </c:pt>
                <c:pt idx="66">
                  <c:v>5.4198346572829003E-4</c:v>
                </c:pt>
                <c:pt idx="67">
                  <c:v>5.4096931329071496E-4</c:v>
                </c:pt>
                <c:pt idx="68">
                  <c:v>5.3951749136485505E-4</c:v>
                </c:pt>
                <c:pt idx="69">
                  <c:v>5.3996138847436698E-4</c:v>
                </c:pt>
                <c:pt idx="70">
                  <c:v>5.3865580521694702E-4</c:v>
                </c:pt>
                <c:pt idx="71">
                  <c:v>5.3855582752064405E-4</c:v>
                </c:pt>
                <c:pt idx="72">
                  <c:v>5.3779631492542005E-4</c:v>
                </c:pt>
                <c:pt idx="73">
                  <c:v>5.3668920507270797E-4</c:v>
                </c:pt>
                <c:pt idx="74">
                  <c:v>5.3623057942086205E-4</c:v>
                </c:pt>
                <c:pt idx="75">
                  <c:v>5.3529988774109899E-4</c:v>
                </c:pt>
                <c:pt idx="76">
                  <c:v>5.3332874990378199E-4</c:v>
                </c:pt>
                <c:pt idx="77">
                  <c:v>5.3262935009344399E-4</c:v>
                </c:pt>
                <c:pt idx="78">
                  <c:v>5.3250393442615899E-4</c:v>
                </c:pt>
                <c:pt idx="79">
                  <c:v>5.3185079736668597E-4</c:v>
                </c:pt>
                <c:pt idx="80">
                  <c:v>5.3108924775832796E-4</c:v>
                </c:pt>
                <c:pt idx="81">
                  <c:v>5.3053950545227998E-4</c:v>
                </c:pt>
                <c:pt idx="82">
                  <c:v>5.2965663986231405E-4</c:v>
                </c:pt>
                <c:pt idx="83">
                  <c:v>5.3102532148892496E-4</c:v>
                </c:pt>
                <c:pt idx="84">
                  <c:v>5.3029663259892505E-4</c:v>
                </c:pt>
                <c:pt idx="85">
                  <c:v>5.2959435878277496E-4</c:v>
                </c:pt>
                <c:pt idx="86">
                  <c:v>5.2909625244550998E-4</c:v>
                </c:pt>
                <c:pt idx="87">
                  <c:v>5.2808167250302496E-4</c:v>
                </c:pt>
                <c:pt idx="88">
                  <c:v>5.2767532937991399E-4</c:v>
                </c:pt>
                <c:pt idx="89">
                  <c:v>5.2713560357703501E-4</c:v>
                </c:pt>
                <c:pt idx="90">
                  <c:v>5.2679101710591605E-4</c:v>
                </c:pt>
                <c:pt idx="91">
                  <c:v>5.2618681433154295E-4</c:v>
                </c:pt>
                <c:pt idx="92">
                  <c:v>5.2549830058816103E-4</c:v>
                </c:pt>
                <c:pt idx="93">
                  <c:v>5.2493651372281401E-4</c:v>
                </c:pt>
                <c:pt idx="94">
                  <c:v>5.2402938442391096E-4</c:v>
                </c:pt>
                <c:pt idx="95">
                  <c:v>5.2413366580511295E-4</c:v>
                </c:pt>
                <c:pt idx="96">
                  <c:v>5.2367056977411001E-4</c:v>
                </c:pt>
                <c:pt idx="97">
                  <c:v>5.2065834245763204E-4</c:v>
                </c:pt>
                <c:pt idx="98">
                  <c:v>5.2011507607607201E-4</c:v>
                </c:pt>
                <c:pt idx="99">
                  <c:v>5.1387006607791098E-4</c:v>
                </c:pt>
                <c:pt idx="100">
                  <c:v>5.0712067968739698E-4</c:v>
                </c:pt>
                <c:pt idx="101">
                  <c:v>4.9827947423330997E-4</c:v>
                </c:pt>
                <c:pt idx="102">
                  <c:v>4.9644924566700404E-4</c:v>
                </c:pt>
                <c:pt idx="103">
                  <c:v>4.9073055934445301E-4</c:v>
                </c:pt>
                <c:pt idx="104">
                  <c:v>4.84685106814527E-4</c:v>
                </c:pt>
                <c:pt idx="105">
                  <c:v>4.7996258684970399E-4</c:v>
                </c:pt>
                <c:pt idx="106">
                  <c:v>4.7414547624345503E-4</c:v>
                </c:pt>
                <c:pt idx="107">
                  <c:v>4.6858754745062999E-4</c:v>
                </c:pt>
                <c:pt idx="108">
                  <c:v>4.6270562667343E-4</c:v>
                </c:pt>
                <c:pt idx="109">
                  <c:v>4.5693355059812099E-4</c:v>
                </c:pt>
                <c:pt idx="110">
                  <c:v>4.5029780182117098E-4</c:v>
                </c:pt>
                <c:pt idx="111">
                  <c:v>4.45320332176347E-4</c:v>
                </c:pt>
                <c:pt idx="112">
                  <c:v>4.39134683496847E-4</c:v>
                </c:pt>
                <c:pt idx="113">
                  <c:v>4.3397314417080099E-4</c:v>
                </c:pt>
                <c:pt idx="114">
                  <c:v>4.2865132160966398E-4</c:v>
                </c:pt>
                <c:pt idx="115">
                  <c:v>4.22989701047418E-4</c:v>
                </c:pt>
                <c:pt idx="116">
                  <c:v>4.1815521431147397E-4</c:v>
                </c:pt>
                <c:pt idx="117">
                  <c:v>4.1246306393832898E-4</c:v>
                </c:pt>
                <c:pt idx="118">
                  <c:v>4.06965705401159E-4</c:v>
                </c:pt>
                <c:pt idx="119">
                  <c:v>4.0194789540267702E-4</c:v>
                </c:pt>
                <c:pt idx="120">
                  <c:v>3.9695454546715997E-4</c:v>
                </c:pt>
                <c:pt idx="121">
                  <c:v>3.9125935875498701E-4</c:v>
                </c:pt>
                <c:pt idx="122">
                  <c:v>3.8649774224258101E-4</c:v>
                </c:pt>
                <c:pt idx="123">
                  <c:v>3.8119901109028497E-4</c:v>
                </c:pt>
                <c:pt idx="124">
                  <c:v>3.7658106608490102E-4</c:v>
                </c:pt>
                <c:pt idx="125">
                  <c:v>3.71983605069622E-4</c:v>
                </c:pt>
                <c:pt idx="126">
                  <c:v>3.6701726385481303E-4</c:v>
                </c:pt>
                <c:pt idx="127">
                  <c:v>3.6126930843893103E-4</c:v>
                </c:pt>
                <c:pt idx="128">
                  <c:v>3.5702991607601E-4</c:v>
                </c:pt>
                <c:pt idx="129">
                  <c:v>3.5167925476005401E-4</c:v>
                </c:pt>
                <c:pt idx="130">
                  <c:v>3.47300265790706E-4</c:v>
                </c:pt>
                <c:pt idx="131">
                  <c:v>3.4239512640732802E-4</c:v>
                </c:pt>
                <c:pt idx="132">
                  <c:v>3.3770170005947402E-4</c:v>
                </c:pt>
                <c:pt idx="133">
                  <c:v>3.3336399584120598E-4</c:v>
                </c:pt>
                <c:pt idx="134">
                  <c:v>3.28013397507314E-4</c:v>
                </c:pt>
                <c:pt idx="135">
                  <c:v>3.2373763066164101E-4</c:v>
                </c:pt>
                <c:pt idx="136">
                  <c:v>3.1930080293663901E-4</c:v>
                </c:pt>
                <c:pt idx="137">
                  <c:v>3.1488482799548199E-4</c:v>
                </c:pt>
                <c:pt idx="138">
                  <c:v>3.10513451000671E-4</c:v>
                </c:pt>
                <c:pt idx="139">
                  <c:v>2.6671901796537897E-4</c:v>
                </c:pt>
                <c:pt idx="140">
                  <c:v>2.29271432894868E-4</c:v>
                </c:pt>
                <c:pt idx="141">
                  <c:v>1.94506847518834E-4</c:v>
                </c:pt>
                <c:pt idx="142">
                  <c:v>1.6375249701341301E-4</c:v>
                </c:pt>
                <c:pt idx="143">
                  <c:v>1.3672695418339399E-4</c:v>
                </c:pt>
                <c:pt idx="144">
                  <c:v>1.13605344785701E-4</c:v>
                </c:pt>
                <c:pt idx="145" formatCode="0.00E+00">
                  <c:v>9.3915750352155096E-5</c:v>
                </c:pt>
                <c:pt idx="146" formatCode="0.00E+00">
                  <c:v>7.7454481922590898E-5</c:v>
                </c:pt>
                <c:pt idx="147" formatCode="0.00E+00">
                  <c:v>6.3659884868127998E-5</c:v>
                </c:pt>
                <c:pt idx="148" formatCode="0.00E+00">
                  <c:v>5.24868267070737E-5</c:v>
                </c:pt>
                <c:pt idx="149" formatCode="0.00E+00">
                  <c:v>4.3215964757765699E-5</c:v>
                </c:pt>
                <c:pt idx="150" formatCode="0.00E+00">
                  <c:v>3.6210814436379198E-5</c:v>
                </c:pt>
                <c:pt idx="151" formatCode="0.00E+00">
                  <c:v>3.06433879538035E-5</c:v>
                </c:pt>
                <c:pt idx="152" formatCode="0.00E+00">
                  <c:v>2.6075394292296499E-5</c:v>
                </c:pt>
                <c:pt idx="153" formatCode="0.00E+00">
                  <c:v>2.2667110413731199E-5</c:v>
                </c:pt>
                <c:pt idx="154" formatCode="0.00E+00">
                  <c:v>1.9775337636330301E-5</c:v>
                </c:pt>
                <c:pt idx="155" formatCode="0.00E+00">
                  <c:v>1.7590508255583199E-5</c:v>
                </c:pt>
                <c:pt idx="156" formatCode="0.00E+00">
                  <c:v>1.565848043228E-5</c:v>
                </c:pt>
                <c:pt idx="157" formatCode="0.00E+00">
                  <c:v>1.39700336682189E-5</c:v>
                </c:pt>
                <c:pt idx="158" formatCode="0.00E+00">
                  <c:v>1.2594225964202001E-5</c:v>
                </c:pt>
                <c:pt idx="159" formatCode="0.00E+00">
                  <c:v>1.1478109616002299E-5</c:v>
                </c:pt>
                <c:pt idx="160" formatCode="0.00E+00">
                  <c:v>1.04118172281955E-5</c:v>
                </c:pt>
                <c:pt idx="161" formatCode="0.00E+00">
                  <c:v>9.4735238667283602E-6</c:v>
                </c:pt>
                <c:pt idx="162" formatCode="0.00E+00">
                  <c:v>8.5943698452901994E-6</c:v>
                </c:pt>
                <c:pt idx="163" formatCode="0.00E+00">
                  <c:v>7.7478767554368306E-6</c:v>
                </c:pt>
              </c:numCache>
            </c:numRef>
          </c:yVal>
          <c:smooth val="0"/>
          <c:extLst>
            <c:ext xmlns:c16="http://schemas.microsoft.com/office/drawing/2014/chart" uri="{C3380CC4-5D6E-409C-BE32-E72D297353CC}">
              <c16:uniqueId val="{00000000-945D-4499-89F2-609C4B2B5CE9}"/>
            </c:ext>
          </c:extLst>
        </c:ser>
        <c:dLbls>
          <c:showLegendKey val="0"/>
          <c:showVal val="0"/>
          <c:showCatName val="0"/>
          <c:showSerName val="0"/>
          <c:showPercent val="0"/>
          <c:showBubbleSize val="0"/>
        </c:dLbls>
        <c:axId val="449619712"/>
        <c:axId val="449638912"/>
      </c:scatterChart>
      <c:valAx>
        <c:axId val="4496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38912"/>
        <c:crosses val="autoZero"/>
        <c:crossBetween val="midCat"/>
      </c:valAx>
      <c:valAx>
        <c:axId val="449638912"/>
        <c:scaling>
          <c:orientation val="minMax"/>
          <c:max val="6.0000000000000016E-4"/>
          <c:min val="1.0000000000000005E-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97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9.2081247944832675E-2"/>
                  <c:y val="-0.4472547180891943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Focused!$M:$M</c:f>
              <c:numCache>
                <c:formatCode>General</c:formatCode>
                <c:ptCount val="1048576"/>
                <c:pt idx="0">
                  <c:v>2</c:v>
                </c:pt>
                <c:pt idx="1">
                  <c:v>102</c:v>
                </c:pt>
                <c:pt idx="2">
                  <c:v>202</c:v>
                </c:pt>
                <c:pt idx="3">
                  <c:v>302</c:v>
                </c:pt>
                <c:pt idx="4">
                  <c:v>402</c:v>
                </c:pt>
                <c:pt idx="5">
                  <c:v>502</c:v>
                </c:pt>
                <c:pt idx="6">
                  <c:v>602</c:v>
                </c:pt>
                <c:pt idx="7">
                  <c:v>702</c:v>
                </c:pt>
                <c:pt idx="8">
                  <c:v>802</c:v>
                </c:pt>
                <c:pt idx="9">
                  <c:v>902</c:v>
                </c:pt>
                <c:pt idx="10">
                  <c:v>1002</c:v>
                </c:pt>
                <c:pt idx="11">
                  <c:v>1102</c:v>
                </c:pt>
                <c:pt idx="12">
                  <c:v>1202</c:v>
                </c:pt>
                <c:pt idx="13">
                  <c:v>1302</c:v>
                </c:pt>
                <c:pt idx="14">
                  <c:v>1402</c:v>
                </c:pt>
                <c:pt idx="15">
                  <c:v>1502</c:v>
                </c:pt>
                <c:pt idx="16">
                  <c:v>1602</c:v>
                </c:pt>
                <c:pt idx="17">
                  <c:v>1702</c:v>
                </c:pt>
                <c:pt idx="18">
                  <c:v>1802</c:v>
                </c:pt>
                <c:pt idx="19">
                  <c:v>1902</c:v>
                </c:pt>
                <c:pt idx="20">
                  <c:v>2002</c:v>
                </c:pt>
                <c:pt idx="21">
                  <c:v>2102</c:v>
                </c:pt>
                <c:pt idx="22">
                  <c:v>2202</c:v>
                </c:pt>
                <c:pt idx="23">
                  <c:v>2302</c:v>
                </c:pt>
                <c:pt idx="24">
                  <c:v>2402</c:v>
                </c:pt>
                <c:pt idx="25">
                  <c:v>2502</c:v>
                </c:pt>
                <c:pt idx="26">
                  <c:v>2602</c:v>
                </c:pt>
              </c:numCache>
            </c:numRef>
          </c:xVal>
          <c:yVal>
            <c:numRef>
              <c:f>Focused!$N$1:$N$164</c:f>
              <c:numCache>
                <c:formatCode>General</c:formatCode>
                <c:ptCount val="164"/>
                <c:pt idx="0">
                  <c:v>5.8770921107485503E-4</c:v>
                </c:pt>
                <c:pt idx="1">
                  <c:v>5.2600098611054803E-4</c:v>
                </c:pt>
                <c:pt idx="2">
                  <c:v>4.6647046427471402E-4</c:v>
                </c:pt>
                <c:pt idx="3">
                  <c:v>4.1178354795567198E-4</c:v>
                </c:pt>
                <c:pt idx="4">
                  <c:v>3.61015696046953E-4</c:v>
                </c:pt>
                <c:pt idx="5">
                  <c:v>3.1503460999858502E-4</c:v>
                </c:pt>
                <c:pt idx="6">
                  <c:v>2.7148007139882299E-4</c:v>
                </c:pt>
                <c:pt idx="7">
                  <c:v>2.3209333764202101E-4</c:v>
                </c:pt>
                <c:pt idx="8">
                  <c:v>1.96627296506822E-4</c:v>
                </c:pt>
                <c:pt idx="9">
                  <c:v>1.6459551162402501E-4</c:v>
                </c:pt>
                <c:pt idx="10">
                  <c:v>1.37594687234035E-4</c:v>
                </c:pt>
                <c:pt idx="11">
                  <c:v>1.13468415680007E-4</c:v>
                </c:pt>
                <c:pt idx="12" formatCode="0.00E+00">
                  <c:v>9.2958880383785798E-5</c:v>
                </c:pt>
                <c:pt idx="13" formatCode="0.00E+00">
                  <c:v>7.5989204847917594E-5</c:v>
                </c:pt>
                <c:pt idx="14" formatCode="0.00E+00">
                  <c:v>6.1932776774197796E-5</c:v>
                </c:pt>
                <c:pt idx="15" formatCode="0.00E+00">
                  <c:v>5.0768945921197801E-5</c:v>
                </c:pt>
                <c:pt idx="16" formatCode="0.00E+00">
                  <c:v>4.1519281561702603E-5</c:v>
                </c:pt>
                <c:pt idx="17" formatCode="0.00E+00">
                  <c:v>3.4798660348758199E-5</c:v>
                </c:pt>
                <c:pt idx="18" formatCode="0.00E+00">
                  <c:v>2.9076896569207799E-5</c:v>
                </c:pt>
                <c:pt idx="19" formatCode="0.00E+00">
                  <c:v>2.4716244826248401E-5</c:v>
                </c:pt>
                <c:pt idx="20" formatCode="0.00E+00">
                  <c:v>2.15205763638132E-5</c:v>
                </c:pt>
                <c:pt idx="21" formatCode="0.00E+00">
                  <c:v>1.8930250974854201E-5</c:v>
                </c:pt>
                <c:pt idx="22" formatCode="0.00E+00">
                  <c:v>1.6804249819676498E-5</c:v>
                </c:pt>
                <c:pt idx="23" formatCode="0.00E+00">
                  <c:v>1.5025962385186401E-5</c:v>
                </c:pt>
                <c:pt idx="24" formatCode="0.00E+00">
                  <c:v>1.36090000505961E-5</c:v>
                </c:pt>
                <c:pt idx="25" formatCode="0.00E+00">
                  <c:v>1.2312899887880301E-5</c:v>
                </c:pt>
                <c:pt idx="26" formatCode="0.00E+00">
                  <c:v>1.1272401021021599E-5</c:v>
                </c:pt>
              </c:numCache>
            </c:numRef>
          </c:yVal>
          <c:smooth val="0"/>
          <c:extLst>
            <c:ext xmlns:c16="http://schemas.microsoft.com/office/drawing/2014/chart" uri="{C3380CC4-5D6E-409C-BE32-E72D297353CC}">
              <c16:uniqueId val="{00000000-CFFC-494A-B38E-5DFDAD86112C}"/>
            </c:ext>
          </c:extLst>
        </c:ser>
        <c:dLbls>
          <c:showLegendKey val="0"/>
          <c:showVal val="0"/>
          <c:showCatName val="0"/>
          <c:showSerName val="0"/>
          <c:showPercent val="0"/>
          <c:showBubbleSize val="0"/>
        </c:dLbls>
        <c:axId val="334816416"/>
        <c:axId val="1827021520"/>
      </c:scatterChart>
      <c:valAx>
        <c:axId val="33481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021520"/>
        <c:crosses val="autoZero"/>
        <c:crossBetween val="midCat"/>
      </c:valAx>
      <c:valAx>
        <c:axId val="182702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816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NP!$O$12:$O$17</c:f>
              <c:numCache>
                <c:formatCode>General</c:formatCode>
                <c:ptCount val="6"/>
                <c:pt idx="0">
                  <c:v>5.8754764319286323E-4</c:v>
                </c:pt>
                <c:pt idx="1">
                  <c:v>5.8753492493743233E-4</c:v>
                </c:pt>
                <c:pt idx="2">
                  <c:v>5.8774109760394101E-4</c:v>
                </c:pt>
                <c:pt idx="3">
                  <c:v>5.8738561503331513E-4</c:v>
                </c:pt>
                <c:pt idx="4">
                  <c:v>5.8785375057079578E-4</c:v>
                </c:pt>
                <c:pt idx="5" formatCode="0.00E+00">
                  <c:v>5.8492430121610275E-4</c:v>
                </c:pt>
              </c:numCache>
            </c:numRef>
          </c:yVal>
          <c:smooth val="0"/>
          <c:extLst>
            <c:ext xmlns:c16="http://schemas.microsoft.com/office/drawing/2014/chart" uri="{C3380CC4-5D6E-409C-BE32-E72D297353CC}">
              <c16:uniqueId val="{00000000-2062-4FCA-AECE-F4F550F58F6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NP!$P$12:$P$17</c:f>
              <c:numCache>
                <c:formatCode>General</c:formatCode>
                <c:ptCount val="6"/>
                <c:pt idx="0">
                  <c:v>5.8109439657202369E-4</c:v>
                </c:pt>
                <c:pt idx="1">
                  <c:v>5.8117462031240523E-4</c:v>
                </c:pt>
                <c:pt idx="2">
                  <c:v>5.8143268930993595E-4</c:v>
                </c:pt>
                <c:pt idx="3">
                  <c:v>5.7916591668723304E-4</c:v>
                </c:pt>
                <c:pt idx="4">
                  <c:v>5.7814472697642529E-4</c:v>
                </c:pt>
                <c:pt idx="5" formatCode="0.00E+00">
                  <c:v>5.7630598259865993E-4</c:v>
                </c:pt>
              </c:numCache>
            </c:numRef>
          </c:yVal>
          <c:smooth val="0"/>
          <c:extLst>
            <c:ext xmlns:c16="http://schemas.microsoft.com/office/drawing/2014/chart" uri="{C3380CC4-5D6E-409C-BE32-E72D297353CC}">
              <c16:uniqueId val="{00000001-2062-4FCA-AECE-F4F550F58F6B}"/>
            </c:ext>
          </c:extLst>
        </c:ser>
        <c:dLbls>
          <c:showLegendKey val="0"/>
          <c:showVal val="0"/>
          <c:showCatName val="0"/>
          <c:showSerName val="0"/>
          <c:showPercent val="0"/>
          <c:showBubbleSize val="0"/>
        </c:dLbls>
        <c:axId val="581435424"/>
        <c:axId val="489232176"/>
      </c:scatterChart>
      <c:valAx>
        <c:axId val="58143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32176"/>
        <c:crosses val="autoZero"/>
        <c:crossBetween val="midCat"/>
      </c:valAx>
      <c:valAx>
        <c:axId val="48923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3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NP!$Q$12:$Q$17</c:f>
              <c:numCache>
                <c:formatCode>General</c:formatCode>
                <c:ptCount val="6"/>
                <c:pt idx="0">
                  <c:v>3.2041838092718715E-3</c:v>
                </c:pt>
                <c:pt idx="1">
                  <c:v>3.2041938206669083E-3</c:v>
                </c:pt>
                <c:pt idx="2" formatCode="0.00E+00">
                  <c:v>3.2076081818700987E-3</c:v>
                </c:pt>
                <c:pt idx="3">
                  <c:v>3.2059416087764294E-3</c:v>
                </c:pt>
                <c:pt idx="4" formatCode="0.00E+00">
                  <c:v>3.2101749361055079E-3</c:v>
                </c:pt>
                <c:pt idx="5" formatCode="0.00E+00">
                  <c:v>3.2178247684421847E-3</c:v>
                </c:pt>
              </c:numCache>
            </c:numRef>
          </c:yVal>
          <c:smooth val="0"/>
          <c:extLst>
            <c:ext xmlns:c16="http://schemas.microsoft.com/office/drawing/2014/chart" uri="{C3380CC4-5D6E-409C-BE32-E72D297353CC}">
              <c16:uniqueId val="{00000000-0FDA-407B-8B6D-5DAF56BD3EC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NP!$N$12:$N$17</c:f>
              <c:numCache>
                <c:formatCode>General</c:formatCode>
                <c:ptCount val="6"/>
                <c:pt idx="0">
                  <c:v>10</c:v>
                </c:pt>
                <c:pt idx="1">
                  <c:v>25</c:v>
                </c:pt>
                <c:pt idx="2">
                  <c:v>50</c:v>
                </c:pt>
                <c:pt idx="3">
                  <c:v>65</c:v>
                </c:pt>
                <c:pt idx="4">
                  <c:v>75</c:v>
                </c:pt>
                <c:pt idx="5">
                  <c:v>100</c:v>
                </c:pt>
              </c:numCache>
            </c:numRef>
          </c:xVal>
          <c:yVal>
            <c:numRef>
              <c:f>NP!$R$12:$R$17</c:f>
              <c:numCache>
                <c:formatCode>General</c:formatCode>
                <c:ptCount val="6"/>
                <c:pt idx="0">
                  <c:v>3.172125823733983E-3</c:v>
                </c:pt>
                <c:pt idx="1">
                  <c:v>3.1713694167662021E-3</c:v>
                </c:pt>
                <c:pt idx="2">
                  <c:v>3.1717423947098858E-3</c:v>
                </c:pt>
                <c:pt idx="3">
                  <c:v>3.1711369147515533E-3</c:v>
                </c:pt>
                <c:pt idx="4">
                  <c:v>3.1696585176324596E-3</c:v>
                </c:pt>
                <c:pt idx="5">
                  <c:v>3.1768206720713715E-3</c:v>
                </c:pt>
              </c:numCache>
            </c:numRef>
          </c:yVal>
          <c:smooth val="0"/>
          <c:extLst>
            <c:ext xmlns:c16="http://schemas.microsoft.com/office/drawing/2014/chart" uri="{C3380CC4-5D6E-409C-BE32-E72D297353CC}">
              <c16:uniqueId val="{00000004-0FDA-407B-8B6D-5DAF56BD3EC9}"/>
            </c:ext>
          </c:extLst>
        </c:ser>
        <c:dLbls>
          <c:showLegendKey val="0"/>
          <c:showVal val="0"/>
          <c:showCatName val="0"/>
          <c:showSerName val="0"/>
          <c:showPercent val="0"/>
          <c:showBubbleSize val="0"/>
        </c:dLbls>
        <c:axId val="412565936"/>
        <c:axId val="412566896"/>
      </c:scatterChart>
      <c:valAx>
        <c:axId val="41256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66896"/>
        <c:crosses val="autoZero"/>
        <c:crossBetween val="midCat"/>
      </c:valAx>
      <c:valAx>
        <c:axId val="41256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65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Sheet2!$B$1</c:f>
              <c:strCache>
                <c:ptCount val="1"/>
                <c:pt idx="0">
                  <c:v>real</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Sheet2!$A$2:$A$312</c:f>
              <c:numCache>
                <c:formatCode>General</c:formatCode>
                <c:ptCount val="311"/>
                <c:pt idx="0">
                  <c:v>20</c:v>
                </c:pt>
                <c:pt idx="1">
                  <c:v>30</c:v>
                </c:pt>
                <c:pt idx="2">
                  <c:v>40</c:v>
                </c:pt>
                <c:pt idx="3">
                  <c:v>50</c:v>
                </c:pt>
                <c:pt idx="4">
                  <c:v>60</c:v>
                </c:pt>
                <c:pt idx="5">
                  <c:v>70</c:v>
                </c:pt>
                <c:pt idx="6">
                  <c:v>80</c:v>
                </c:pt>
                <c:pt idx="7">
                  <c:v>90</c:v>
                </c:pt>
                <c:pt idx="8">
                  <c:v>100</c:v>
                </c:pt>
                <c:pt idx="9">
                  <c:v>110</c:v>
                </c:pt>
                <c:pt idx="10">
                  <c:v>120</c:v>
                </c:pt>
                <c:pt idx="11">
                  <c:v>130</c:v>
                </c:pt>
                <c:pt idx="12">
                  <c:v>140</c:v>
                </c:pt>
                <c:pt idx="13">
                  <c:v>150</c:v>
                </c:pt>
                <c:pt idx="14">
                  <c:v>160</c:v>
                </c:pt>
                <c:pt idx="15">
                  <c:v>170</c:v>
                </c:pt>
                <c:pt idx="16">
                  <c:v>180</c:v>
                </c:pt>
                <c:pt idx="17">
                  <c:v>190</c:v>
                </c:pt>
                <c:pt idx="18">
                  <c:v>200</c:v>
                </c:pt>
                <c:pt idx="19">
                  <c:v>210</c:v>
                </c:pt>
                <c:pt idx="20">
                  <c:v>220</c:v>
                </c:pt>
                <c:pt idx="21">
                  <c:v>230</c:v>
                </c:pt>
                <c:pt idx="22">
                  <c:v>240</c:v>
                </c:pt>
                <c:pt idx="23">
                  <c:v>250</c:v>
                </c:pt>
                <c:pt idx="24">
                  <c:v>260</c:v>
                </c:pt>
                <c:pt idx="25">
                  <c:v>270</c:v>
                </c:pt>
                <c:pt idx="26">
                  <c:v>280</c:v>
                </c:pt>
                <c:pt idx="27">
                  <c:v>290</c:v>
                </c:pt>
                <c:pt idx="28">
                  <c:v>300</c:v>
                </c:pt>
                <c:pt idx="29">
                  <c:v>310</c:v>
                </c:pt>
                <c:pt idx="30">
                  <c:v>320</c:v>
                </c:pt>
                <c:pt idx="31">
                  <c:v>330</c:v>
                </c:pt>
                <c:pt idx="32">
                  <c:v>340</c:v>
                </c:pt>
                <c:pt idx="33">
                  <c:v>350</c:v>
                </c:pt>
                <c:pt idx="34">
                  <c:v>360</c:v>
                </c:pt>
                <c:pt idx="35">
                  <c:v>370</c:v>
                </c:pt>
                <c:pt idx="36">
                  <c:v>380</c:v>
                </c:pt>
                <c:pt idx="37">
                  <c:v>390</c:v>
                </c:pt>
                <c:pt idx="38">
                  <c:v>400</c:v>
                </c:pt>
                <c:pt idx="39">
                  <c:v>410</c:v>
                </c:pt>
                <c:pt idx="40">
                  <c:v>420</c:v>
                </c:pt>
                <c:pt idx="41">
                  <c:v>430</c:v>
                </c:pt>
                <c:pt idx="42">
                  <c:v>440</c:v>
                </c:pt>
                <c:pt idx="43">
                  <c:v>450</c:v>
                </c:pt>
                <c:pt idx="44">
                  <c:v>460</c:v>
                </c:pt>
                <c:pt idx="45">
                  <c:v>470</c:v>
                </c:pt>
                <c:pt idx="46">
                  <c:v>480</c:v>
                </c:pt>
                <c:pt idx="47">
                  <c:v>490</c:v>
                </c:pt>
                <c:pt idx="48">
                  <c:v>500</c:v>
                </c:pt>
                <c:pt idx="49">
                  <c:v>510</c:v>
                </c:pt>
                <c:pt idx="50">
                  <c:v>520</c:v>
                </c:pt>
                <c:pt idx="51">
                  <c:v>530</c:v>
                </c:pt>
                <c:pt idx="52">
                  <c:v>540</c:v>
                </c:pt>
                <c:pt idx="53">
                  <c:v>550</c:v>
                </c:pt>
                <c:pt idx="54">
                  <c:v>560</c:v>
                </c:pt>
                <c:pt idx="55">
                  <c:v>570</c:v>
                </c:pt>
                <c:pt idx="56">
                  <c:v>580</c:v>
                </c:pt>
                <c:pt idx="57">
                  <c:v>590</c:v>
                </c:pt>
                <c:pt idx="58">
                  <c:v>600</c:v>
                </c:pt>
                <c:pt idx="59">
                  <c:v>610</c:v>
                </c:pt>
                <c:pt idx="60">
                  <c:v>620</c:v>
                </c:pt>
                <c:pt idx="61">
                  <c:v>630</c:v>
                </c:pt>
                <c:pt idx="62">
                  <c:v>640</c:v>
                </c:pt>
                <c:pt idx="63">
                  <c:v>650</c:v>
                </c:pt>
                <c:pt idx="64">
                  <c:v>660</c:v>
                </c:pt>
                <c:pt idx="65">
                  <c:v>670</c:v>
                </c:pt>
                <c:pt idx="66">
                  <c:v>680</c:v>
                </c:pt>
                <c:pt idx="67">
                  <c:v>690</c:v>
                </c:pt>
                <c:pt idx="68">
                  <c:v>700</c:v>
                </c:pt>
                <c:pt idx="69">
                  <c:v>710</c:v>
                </c:pt>
                <c:pt idx="70">
                  <c:v>720</c:v>
                </c:pt>
                <c:pt idx="71">
                  <c:v>730</c:v>
                </c:pt>
                <c:pt idx="72">
                  <c:v>740</c:v>
                </c:pt>
                <c:pt idx="73">
                  <c:v>750</c:v>
                </c:pt>
                <c:pt idx="74">
                  <c:v>760</c:v>
                </c:pt>
                <c:pt idx="75">
                  <c:v>770</c:v>
                </c:pt>
                <c:pt idx="76">
                  <c:v>780</c:v>
                </c:pt>
                <c:pt idx="77">
                  <c:v>790</c:v>
                </c:pt>
                <c:pt idx="78">
                  <c:v>800</c:v>
                </c:pt>
                <c:pt idx="79">
                  <c:v>810</c:v>
                </c:pt>
                <c:pt idx="80">
                  <c:v>820</c:v>
                </c:pt>
                <c:pt idx="81">
                  <c:v>830</c:v>
                </c:pt>
                <c:pt idx="82">
                  <c:v>840</c:v>
                </c:pt>
                <c:pt idx="83">
                  <c:v>850</c:v>
                </c:pt>
                <c:pt idx="84">
                  <c:v>860</c:v>
                </c:pt>
                <c:pt idx="85">
                  <c:v>870</c:v>
                </c:pt>
                <c:pt idx="86">
                  <c:v>880</c:v>
                </c:pt>
                <c:pt idx="87">
                  <c:v>890</c:v>
                </c:pt>
                <c:pt idx="88">
                  <c:v>900</c:v>
                </c:pt>
                <c:pt idx="89">
                  <c:v>910</c:v>
                </c:pt>
                <c:pt idx="90">
                  <c:v>920</c:v>
                </c:pt>
                <c:pt idx="91">
                  <c:v>930</c:v>
                </c:pt>
                <c:pt idx="92">
                  <c:v>940</c:v>
                </c:pt>
                <c:pt idx="93">
                  <c:v>950</c:v>
                </c:pt>
                <c:pt idx="94">
                  <c:v>960</c:v>
                </c:pt>
                <c:pt idx="95">
                  <c:v>970</c:v>
                </c:pt>
                <c:pt idx="96">
                  <c:v>980</c:v>
                </c:pt>
                <c:pt idx="97">
                  <c:v>990</c:v>
                </c:pt>
                <c:pt idx="98">
                  <c:v>1000</c:v>
                </c:pt>
                <c:pt idx="99">
                  <c:v>1010</c:v>
                </c:pt>
                <c:pt idx="100">
                  <c:v>1020</c:v>
                </c:pt>
                <c:pt idx="101">
                  <c:v>1030</c:v>
                </c:pt>
                <c:pt idx="102">
                  <c:v>1040</c:v>
                </c:pt>
                <c:pt idx="103">
                  <c:v>1050</c:v>
                </c:pt>
                <c:pt idx="104">
                  <c:v>1060</c:v>
                </c:pt>
                <c:pt idx="105">
                  <c:v>1070</c:v>
                </c:pt>
                <c:pt idx="106">
                  <c:v>1080</c:v>
                </c:pt>
                <c:pt idx="107">
                  <c:v>1090</c:v>
                </c:pt>
                <c:pt idx="108">
                  <c:v>1100</c:v>
                </c:pt>
                <c:pt idx="109">
                  <c:v>1110</c:v>
                </c:pt>
                <c:pt idx="110">
                  <c:v>1120</c:v>
                </c:pt>
                <c:pt idx="111">
                  <c:v>1130</c:v>
                </c:pt>
                <c:pt idx="112">
                  <c:v>1140</c:v>
                </c:pt>
                <c:pt idx="113">
                  <c:v>1150</c:v>
                </c:pt>
                <c:pt idx="114">
                  <c:v>1160</c:v>
                </c:pt>
                <c:pt idx="115">
                  <c:v>1170</c:v>
                </c:pt>
                <c:pt idx="116">
                  <c:v>1180</c:v>
                </c:pt>
                <c:pt idx="117">
                  <c:v>1190</c:v>
                </c:pt>
                <c:pt idx="118">
                  <c:v>1200</c:v>
                </c:pt>
                <c:pt idx="119">
                  <c:v>1210</c:v>
                </c:pt>
                <c:pt idx="120">
                  <c:v>1220</c:v>
                </c:pt>
                <c:pt idx="121">
                  <c:v>1230</c:v>
                </c:pt>
                <c:pt idx="122">
                  <c:v>1240</c:v>
                </c:pt>
                <c:pt idx="123">
                  <c:v>1250</c:v>
                </c:pt>
                <c:pt idx="124">
                  <c:v>1260</c:v>
                </c:pt>
                <c:pt idx="125">
                  <c:v>1270</c:v>
                </c:pt>
                <c:pt idx="126">
                  <c:v>1280</c:v>
                </c:pt>
                <c:pt idx="127">
                  <c:v>1290</c:v>
                </c:pt>
                <c:pt idx="128">
                  <c:v>1300</c:v>
                </c:pt>
                <c:pt idx="129">
                  <c:v>1310</c:v>
                </c:pt>
                <c:pt idx="130">
                  <c:v>1320</c:v>
                </c:pt>
                <c:pt idx="131">
                  <c:v>1330</c:v>
                </c:pt>
                <c:pt idx="132">
                  <c:v>1340</c:v>
                </c:pt>
                <c:pt idx="133">
                  <c:v>1350</c:v>
                </c:pt>
                <c:pt idx="134">
                  <c:v>1360</c:v>
                </c:pt>
                <c:pt idx="135">
                  <c:v>1370</c:v>
                </c:pt>
                <c:pt idx="136">
                  <c:v>1380</c:v>
                </c:pt>
                <c:pt idx="137">
                  <c:v>1390</c:v>
                </c:pt>
                <c:pt idx="138">
                  <c:v>1400</c:v>
                </c:pt>
                <c:pt idx="139">
                  <c:v>1410</c:v>
                </c:pt>
                <c:pt idx="140">
                  <c:v>1420</c:v>
                </c:pt>
                <c:pt idx="141">
                  <c:v>1430</c:v>
                </c:pt>
                <c:pt idx="142">
                  <c:v>1440</c:v>
                </c:pt>
                <c:pt idx="143">
                  <c:v>1450</c:v>
                </c:pt>
                <c:pt idx="144">
                  <c:v>1460</c:v>
                </c:pt>
                <c:pt idx="145">
                  <c:v>1470</c:v>
                </c:pt>
                <c:pt idx="146">
                  <c:v>1480</c:v>
                </c:pt>
                <c:pt idx="147">
                  <c:v>1490</c:v>
                </c:pt>
                <c:pt idx="148">
                  <c:v>1500</c:v>
                </c:pt>
                <c:pt idx="149">
                  <c:v>1510</c:v>
                </c:pt>
                <c:pt idx="150">
                  <c:v>1520</c:v>
                </c:pt>
                <c:pt idx="151">
                  <c:v>1530</c:v>
                </c:pt>
                <c:pt idx="152">
                  <c:v>1540</c:v>
                </c:pt>
                <c:pt idx="153">
                  <c:v>1550</c:v>
                </c:pt>
                <c:pt idx="154">
                  <c:v>1560</c:v>
                </c:pt>
                <c:pt idx="155">
                  <c:v>1570</c:v>
                </c:pt>
                <c:pt idx="156">
                  <c:v>1580</c:v>
                </c:pt>
                <c:pt idx="157">
                  <c:v>1590</c:v>
                </c:pt>
                <c:pt idx="158">
                  <c:v>1600</c:v>
                </c:pt>
                <c:pt idx="159">
                  <c:v>1610</c:v>
                </c:pt>
                <c:pt idx="160">
                  <c:v>1620</c:v>
                </c:pt>
                <c:pt idx="161">
                  <c:v>1630</c:v>
                </c:pt>
                <c:pt idx="162">
                  <c:v>1640</c:v>
                </c:pt>
                <c:pt idx="163">
                  <c:v>1650</c:v>
                </c:pt>
                <c:pt idx="164">
                  <c:v>1660</c:v>
                </c:pt>
                <c:pt idx="165">
                  <c:v>1670</c:v>
                </c:pt>
                <c:pt idx="166">
                  <c:v>1680</c:v>
                </c:pt>
                <c:pt idx="167">
                  <c:v>1690</c:v>
                </c:pt>
                <c:pt idx="168">
                  <c:v>1700</c:v>
                </c:pt>
                <c:pt idx="169">
                  <c:v>1710</c:v>
                </c:pt>
                <c:pt idx="170">
                  <c:v>1720</c:v>
                </c:pt>
                <c:pt idx="171">
                  <c:v>1730</c:v>
                </c:pt>
                <c:pt idx="172">
                  <c:v>1740</c:v>
                </c:pt>
                <c:pt idx="173">
                  <c:v>1750</c:v>
                </c:pt>
                <c:pt idx="174">
                  <c:v>1760</c:v>
                </c:pt>
                <c:pt idx="175">
                  <c:v>1770</c:v>
                </c:pt>
                <c:pt idx="176">
                  <c:v>1780</c:v>
                </c:pt>
                <c:pt idx="177">
                  <c:v>1790</c:v>
                </c:pt>
                <c:pt idx="178">
                  <c:v>1800</c:v>
                </c:pt>
                <c:pt idx="179">
                  <c:v>1810</c:v>
                </c:pt>
                <c:pt idx="180">
                  <c:v>1820</c:v>
                </c:pt>
                <c:pt idx="181">
                  <c:v>1830</c:v>
                </c:pt>
                <c:pt idx="182">
                  <c:v>1840</c:v>
                </c:pt>
                <c:pt idx="183">
                  <c:v>1850</c:v>
                </c:pt>
                <c:pt idx="184">
                  <c:v>1860</c:v>
                </c:pt>
                <c:pt idx="185">
                  <c:v>1870</c:v>
                </c:pt>
                <c:pt idx="186">
                  <c:v>1880</c:v>
                </c:pt>
                <c:pt idx="187">
                  <c:v>1890</c:v>
                </c:pt>
                <c:pt idx="188">
                  <c:v>1900</c:v>
                </c:pt>
                <c:pt idx="189">
                  <c:v>1910</c:v>
                </c:pt>
                <c:pt idx="190">
                  <c:v>1920</c:v>
                </c:pt>
                <c:pt idx="191">
                  <c:v>1930</c:v>
                </c:pt>
                <c:pt idx="192">
                  <c:v>1940</c:v>
                </c:pt>
                <c:pt idx="193">
                  <c:v>1950</c:v>
                </c:pt>
                <c:pt idx="194">
                  <c:v>1960</c:v>
                </c:pt>
                <c:pt idx="195">
                  <c:v>1970</c:v>
                </c:pt>
                <c:pt idx="196">
                  <c:v>1980</c:v>
                </c:pt>
                <c:pt idx="197">
                  <c:v>1990</c:v>
                </c:pt>
                <c:pt idx="198">
                  <c:v>2000</c:v>
                </c:pt>
                <c:pt idx="199">
                  <c:v>2010</c:v>
                </c:pt>
                <c:pt idx="200">
                  <c:v>2020</c:v>
                </c:pt>
                <c:pt idx="201">
                  <c:v>2030</c:v>
                </c:pt>
                <c:pt idx="202">
                  <c:v>2040</c:v>
                </c:pt>
                <c:pt idx="203">
                  <c:v>2050</c:v>
                </c:pt>
                <c:pt idx="204">
                  <c:v>2060</c:v>
                </c:pt>
                <c:pt idx="205">
                  <c:v>2070</c:v>
                </c:pt>
                <c:pt idx="206">
                  <c:v>2080</c:v>
                </c:pt>
                <c:pt idx="207">
                  <c:v>2090</c:v>
                </c:pt>
                <c:pt idx="208">
                  <c:v>2100</c:v>
                </c:pt>
                <c:pt idx="209">
                  <c:v>2110</c:v>
                </c:pt>
                <c:pt idx="210">
                  <c:v>2120</c:v>
                </c:pt>
                <c:pt idx="211">
                  <c:v>2130</c:v>
                </c:pt>
                <c:pt idx="212">
                  <c:v>2140</c:v>
                </c:pt>
                <c:pt idx="213">
                  <c:v>2150</c:v>
                </c:pt>
                <c:pt idx="214">
                  <c:v>2160</c:v>
                </c:pt>
                <c:pt idx="215">
                  <c:v>2170</c:v>
                </c:pt>
                <c:pt idx="216">
                  <c:v>2180</c:v>
                </c:pt>
                <c:pt idx="217">
                  <c:v>2190</c:v>
                </c:pt>
                <c:pt idx="218">
                  <c:v>2200</c:v>
                </c:pt>
                <c:pt idx="219">
                  <c:v>2210</c:v>
                </c:pt>
                <c:pt idx="220">
                  <c:v>2220</c:v>
                </c:pt>
                <c:pt idx="221">
                  <c:v>2230</c:v>
                </c:pt>
                <c:pt idx="222">
                  <c:v>2240</c:v>
                </c:pt>
                <c:pt idx="223">
                  <c:v>2250</c:v>
                </c:pt>
                <c:pt idx="224">
                  <c:v>2260</c:v>
                </c:pt>
                <c:pt idx="225">
                  <c:v>2270</c:v>
                </c:pt>
                <c:pt idx="226">
                  <c:v>2280</c:v>
                </c:pt>
                <c:pt idx="227">
                  <c:v>2290</c:v>
                </c:pt>
                <c:pt idx="228">
                  <c:v>2300</c:v>
                </c:pt>
                <c:pt idx="229">
                  <c:v>2310</c:v>
                </c:pt>
                <c:pt idx="230">
                  <c:v>2320</c:v>
                </c:pt>
                <c:pt idx="231">
                  <c:v>2330</c:v>
                </c:pt>
                <c:pt idx="232">
                  <c:v>2340</c:v>
                </c:pt>
                <c:pt idx="233">
                  <c:v>2350</c:v>
                </c:pt>
                <c:pt idx="234">
                  <c:v>2360</c:v>
                </c:pt>
                <c:pt idx="235">
                  <c:v>2370</c:v>
                </c:pt>
                <c:pt idx="236">
                  <c:v>2380</c:v>
                </c:pt>
                <c:pt idx="237">
                  <c:v>2390</c:v>
                </c:pt>
                <c:pt idx="238">
                  <c:v>2400</c:v>
                </c:pt>
                <c:pt idx="239">
                  <c:v>2410</c:v>
                </c:pt>
                <c:pt idx="240">
                  <c:v>2420</c:v>
                </c:pt>
                <c:pt idx="241">
                  <c:v>2430</c:v>
                </c:pt>
                <c:pt idx="242">
                  <c:v>2440</c:v>
                </c:pt>
                <c:pt idx="243">
                  <c:v>2450</c:v>
                </c:pt>
                <c:pt idx="244">
                  <c:v>2460</c:v>
                </c:pt>
                <c:pt idx="245">
                  <c:v>2470</c:v>
                </c:pt>
                <c:pt idx="246">
                  <c:v>2480</c:v>
                </c:pt>
                <c:pt idx="247">
                  <c:v>2490</c:v>
                </c:pt>
                <c:pt idx="248">
                  <c:v>2500</c:v>
                </c:pt>
                <c:pt idx="249">
                  <c:v>2510</c:v>
                </c:pt>
                <c:pt idx="250">
                  <c:v>2520</c:v>
                </c:pt>
                <c:pt idx="251">
                  <c:v>2530</c:v>
                </c:pt>
                <c:pt idx="252">
                  <c:v>2540</c:v>
                </c:pt>
                <c:pt idx="253">
                  <c:v>2550</c:v>
                </c:pt>
                <c:pt idx="254">
                  <c:v>2560</c:v>
                </c:pt>
                <c:pt idx="255">
                  <c:v>2570</c:v>
                </c:pt>
                <c:pt idx="256">
                  <c:v>2580</c:v>
                </c:pt>
                <c:pt idx="257">
                  <c:v>2590</c:v>
                </c:pt>
                <c:pt idx="258">
                  <c:v>2600</c:v>
                </c:pt>
                <c:pt idx="259">
                  <c:v>2610</c:v>
                </c:pt>
                <c:pt idx="260">
                  <c:v>2620</c:v>
                </c:pt>
                <c:pt idx="261">
                  <c:v>2630</c:v>
                </c:pt>
                <c:pt idx="262">
                  <c:v>2640</c:v>
                </c:pt>
                <c:pt idx="263">
                  <c:v>2650</c:v>
                </c:pt>
                <c:pt idx="264">
                  <c:v>2660</c:v>
                </c:pt>
                <c:pt idx="265">
                  <c:v>2670</c:v>
                </c:pt>
                <c:pt idx="266">
                  <c:v>2680</c:v>
                </c:pt>
                <c:pt idx="267">
                  <c:v>2690</c:v>
                </c:pt>
                <c:pt idx="268">
                  <c:v>2700</c:v>
                </c:pt>
                <c:pt idx="269">
                  <c:v>2710</c:v>
                </c:pt>
                <c:pt idx="270">
                  <c:v>2720</c:v>
                </c:pt>
                <c:pt idx="271">
                  <c:v>2730</c:v>
                </c:pt>
                <c:pt idx="272">
                  <c:v>2740</c:v>
                </c:pt>
                <c:pt idx="273">
                  <c:v>2750</c:v>
                </c:pt>
                <c:pt idx="274">
                  <c:v>2760</c:v>
                </c:pt>
                <c:pt idx="275">
                  <c:v>2770</c:v>
                </c:pt>
                <c:pt idx="276">
                  <c:v>2780</c:v>
                </c:pt>
                <c:pt idx="277">
                  <c:v>2790</c:v>
                </c:pt>
                <c:pt idx="278">
                  <c:v>2800</c:v>
                </c:pt>
                <c:pt idx="279">
                  <c:v>2810</c:v>
                </c:pt>
                <c:pt idx="280">
                  <c:v>2820</c:v>
                </c:pt>
                <c:pt idx="281">
                  <c:v>2830</c:v>
                </c:pt>
                <c:pt idx="282">
                  <c:v>2840</c:v>
                </c:pt>
                <c:pt idx="283">
                  <c:v>2850</c:v>
                </c:pt>
                <c:pt idx="284">
                  <c:v>2860</c:v>
                </c:pt>
                <c:pt idx="285">
                  <c:v>2870</c:v>
                </c:pt>
                <c:pt idx="286">
                  <c:v>2880</c:v>
                </c:pt>
                <c:pt idx="287">
                  <c:v>2890</c:v>
                </c:pt>
                <c:pt idx="288">
                  <c:v>2900</c:v>
                </c:pt>
                <c:pt idx="289">
                  <c:v>2910</c:v>
                </c:pt>
                <c:pt idx="290">
                  <c:v>2920</c:v>
                </c:pt>
                <c:pt idx="291">
                  <c:v>2930</c:v>
                </c:pt>
                <c:pt idx="292">
                  <c:v>2940</c:v>
                </c:pt>
                <c:pt idx="293">
                  <c:v>2950</c:v>
                </c:pt>
                <c:pt idx="294">
                  <c:v>2960</c:v>
                </c:pt>
                <c:pt idx="295">
                  <c:v>2970</c:v>
                </c:pt>
                <c:pt idx="296">
                  <c:v>2980</c:v>
                </c:pt>
                <c:pt idx="297">
                  <c:v>2990</c:v>
                </c:pt>
                <c:pt idx="298">
                  <c:v>3000</c:v>
                </c:pt>
                <c:pt idx="299">
                  <c:v>3010</c:v>
                </c:pt>
                <c:pt idx="300">
                  <c:v>3020</c:v>
                </c:pt>
                <c:pt idx="301">
                  <c:v>3030</c:v>
                </c:pt>
                <c:pt idx="302">
                  <c:v>3040</c:v>
                </c:pt>
                <c:pt idx="303">
                  <c:v>3050</c:v>
                </c:pt>
                <c:pt idx="304">
                  <c:v>3060</c:v>
                </c:pt>
                <c:pt idx="305">
                  <c:v>3070</c:v>
                </c:pt>
                <c:pt idx="306">
                  <c:v>3080</c:v>
                </c:pt>
                <c:pt idx="307">
                  <c:v>3090</c:v>
                </c:pt>
                <c:pt idx="308">
                  <c:v>3100</c:v>
                </c:pt>
                <c:pt idx="309">
                  <c:v>3110</c:v>
                </c:pt>
                <c:pt idx="310">
                  <c:v>3120</c:v>
                </c:pt>
              </c:numCache>
            </c:numRef>
          </c:xVal>
          <c:yVal>
            <c:numRef>
              <c:f>Sheet2!$B$2:$B$312</c:f>
              <c:numCache>
                <c:formatCode>General</c:formatCode>
                <c:ptCount val="311"/>
                <c:pt idx="0">
                  <c:v>1.8277116904279977E-2</c:v>
                </c:pt>
                <c:pt idx="1">
                  <c:v>1.8383983036439681E-2</c:v>
                </c:pt>
                <c:pt idx="2">
                  <c:v>1.8486386513358977E-2</c:v>
                </c:pt>
                <c:pt idx="3">
                  <c:v>1.8584302476909353E-2</c:v>
                </c:pt>
                <c:pt idx="4">
                  <c:v>1.8677707158292336E-2</c:v>
                </c:pt>
                <c:pt idx="5">
                  <c:v>1.8766577883809307E-2</c:v>
                </c:pt>
                <c:pt idx="6">
                  <c:v>1.8850893080365461E-2</c:v>
                </c:pt>
                <c:pt idx="7">
                  <c:v>1.893063228070661E-2</c:v>
                </c:pt>
                <c:pt idx="8">
                  <c:v>1.9005776128387553E-2</c:v>
                </c:pt>
                <c:pt idx="9">
                  <c:v>1.9076306382470782E-2</c:v>
                </c:pt>
                <c:pt idx="10">
                  <c:v>1.9142205921954428E-2</c:v>
                </c:pt>
                <c:pt idx="11">
                  <c:v>1.920345874992832E-2</c:v>
                </c:pt>
                <c:pt idx="12">
                  <c:v>1.9260049997457184E-2</c:v>
                </c:pt>
                <c:pt idx="13">
                  <c:v>1.9311965927190051E-2</c:v>
                </c:pt>
                <c:pt idx="14">
                  <c:v>1.9359193936694923E-2</c:v>
                </c:pt>
                <c:pt idx="15">
                  <c:v>1.9401722561518016E-2</c:v>
                </c:pt>
                <c:pt idx="16">
                  <c:v>1.9439541477966674E-2</c:v>
                </c:pt>
                <c:pt idx="17">
                  <c:v>1.9472641505615458E-2</c:v>
                </c:pt>
                <c:pt idx="18">
                  <c:v>1.9501014609534635E-2</c:v>
                </c:pt>
                <c:pt idx="19">
                  <c:v>1.9524653902240653E-2</c:v>
                </c:pt>
                <c:pt idx="20">
                  <c:v>1.9543553645368035E-2</c:v>
                </c:pt>
                <c:pt idx="21">
                  <c:v>1.9557709251062368E-2</c:v>
                </c:pt>
                <c:pt idx="22">
                  <c:v>1.9567117283093984E-2</c:v>
                </c:pt>
                <c:pt idx="23">
                  <c:v>1.9571775457692099E-2</c:v>
                </c:pt>
                <c:pt idx="24">
                  <c:v>1.9571682644099173E-2</c:v>
                </c:pt>
                <c:pt idx="25">
                  <c:v>1.9566838864845424E-2</c:v>
                </c:pt>
                <c:pt idx="26">
                  <c:v>1.9557245295743344E-2</c:v>
                </c:pt>
                <c:pt idx="27">
                  <c:v>1.9542904265602273E-2</c:v>
                </c:pt>
                <c:pt idx="28">
                  <c:v>1.9523819255663089E-2</c:v>
                </c:pt>
                <c:pt idx="29">
                  <c:v>1.9499994898753158E-2</c:v>
                </c:pt>
                <c:pt idx="30">
                  <c:v>1.9471436978161713E-2</c:v>
                </c:pt>
                <c:pt idx="31">
                  <c:v>1.9438152426235991E-2</c:v>
                </c:pt>
                <c:pt idx="32">
                  <c:v>1.9400149322698422E-2</c:v>
                </c:pt>
                <c:pt idx="33">
                  <c:v>1.9357436892685296E-2</c:v>
                </c:pt>
                <c:pt idx="34">
                  <c:v>1.931002550450741E-2</c:v>
                </c:pt>
                <c:pt idx="35">
                  <c:v>1.9257926667133159E-2</c:v>
                </c:pt>
                <c:pt idx="36">
                  <c:v>1.92011530273948E-2</c:v>
                </c:pt>
                <c:pt idx="37">
                  <c:v>1.9139718366918457E-2</c:v>
                </c:pt>
                <c:pt idx="38">
                  <c:v>1.9073637598778684E-2</c:v>
                </c:pt>
                <c:pt idx="39">
                  <c:v>1.9002926763878342E-2</c:v>
                </c:pt>
                <c:pt idx="40">
                  <c:v>1.8927603027054745E-2</c:v>
                </c:pt>
                <c:pt idx="41">
                  <c:v>1.884768467291293E-2</c:v>
                </c:pt>
                <c:pt idx="42">
                  <c:v>1.8763191101387137E-2</c:v>
                </c:pt>
                <c:pt idx="43">
                  <c:v>1.8674142823031523E-2</c:v>
                </c:pt>
                <c:pt idx="44">
                  <c:v>1.8580561454041293E-2</c:v>
                </c:pt>
                <c:pt idx="45">
                  <c:v>1.8482469711005454E-2</c:v>
                </c:pt>
                <c:pt idx="46">
                  <c:v>1.8379891405392396E-2</c:v>
                </c:pt>
                <c:pt idx="47">
                  <c:v>1.8272851437769761E-2</c:v>
                </c:pt>
                <c:pt idx="48">
                  <c:v>1.8161375791759894E-2</c:v>
                </c:pt>
                <c:pt idx="49">
                  <c:v>1.8045491527732407E-2</c:v>
                </c:pt>
                <c:pt idx="50">
                  <c:v>1.7925226776235346E-2</c:v>
                </c:pt>
                <c:pt idx="51">
                  <c:v>1.7800610731166597E-2</c:v>
                </c:pt>
                <c:pt idx="52">
                  <c:v>1.7671673642687159E-2</c:v>
                </c:pt>
                <c:pt idx="53">
                  <c:v>1.7538446809877997E-2</c:v>
                </c:pt>
                <c:pt idx="54">
                  <c:v>1.7400962573142293E-2</c:v>
                </c:pt>
                <c:pt idx="55">
                  <c:v>1.7259254306354936E-2</c:v>
                </c:pt>
                <c:pt idx="56">
                  <c:v>1.7113356408761063E-2</c:v>
                </c:pt>
                <c:pt idx="57">
                  <c:v>1.6963304296625813E-2</c:v>
                </c:pt>
                <c:pt idx="58">
                  <c:v>1.680913439463708E-2</c:v>
                </c:pt>
                <c:pt idx="59">
                  <c:v>1.665088412706358E-2</c:v>
                </c:pt>
                <c:pt idx="60">
                  <c:v>1.6488591908670178E-2</c:v>
                </c:pt>
                <c:pt idx="61">
                  <c:v>1.6322297135392877E-2</c:v>
                </c:pt>
                <c:pt idx="62">
                  <c:v>1.6152040174775516E-2</c:v>
                </c:pt>
                <c:pt idx="63">
                  <c:v>1.5977862356170727E-2</c:v>
                </c:pt>
                <c:pt idx="64">
                  <c:v>1.5799805960707323E-2</c:v>
                </c:pt>
                <c:pt idx="65">
                  <c:v>1.561791421102671E-2</c:v>
                </c:pt>
                <c:pt idx="66">
                  <c:v>1.5432231260790697E-2</c:v>
                </c:pt>
                <c:pt idx="67">
                  <c:v>1.5242802183963369E-2</c:v>
                </c:pt>
                <c:pt idx="68">
                  <c:v>1.5049672963869489E-2</c:v>
                </c:pt>
                <c:pt idx="69">
                  <c:v>1.4852890482032189E-2</c:v>
                </c:pt>
                <c:pt idx="70">
                  <c:v>1.4652502506792651E-2</c:v>
                </c:pt>
                <c:pt idx="71">
                  <c:v>1.4448557681714451E-2</c:v>
                </c:pt>
                <c:pt idx="72">
                  <c:v>1.4241105513775526E-2</c:v>
                </c:pt>
                <c:pt idx="73">
                  <c:v>1.4030196361350467E-2</c:v>
                </c:pt>
                <c:pt idx="74">
                  <c:v>1.3815881421986217E-2</c:v>
                </c:pt>
                <c:pt idx="75">
                  <c:v>1.3598212719973982E-2</c:v>
                </c:pt>
                <c:pt idx="76">
                  <c:v>1.3377243093720542E-2</c:v>
                </c:pt>
                <c:pt idx="77">
                  <c:v>1.3153026182921846E-2</c:v>
                </c:pt>
                <c:pt idx="78">
                  <c:v>1.2925616415542181E-2</c:v>
                </c:pt>
                <c:pt idx="79">
                  <c:v>1.2695068994601908E-2</c:v>
                </c:pt>
                <c:pt idx="80">
                  <c:v>1.246143988477715E-2</c:v>
                </c:pt>
                <c:pt idx="81">
                  <c:v>1.2224785798814483E-2</c:v>
                </c:pt>
                <c:pt idx="82">
                  <c:v>1.1985164183764149E-2</c:v>
                </c:pt>
                <c:pt idx="83">
                  <c:v>1.1742633207034907E-2</c:v>
                </c:pt>
                <c:pt idx="84">
                  <c:v>1.1497251742274121E-2</c:v>
                </c:pt>
                <c:pt idx="85">
                  <c:v>1.1249079355076325E-2</c:v>
                </c:pt>
                <c:pt idx="86">
                  <c:v>1.0998176288523891E-2</c:v>
                </c:pt>
                <c:pt idx="87">
                  <c:v>1.0744603448563173E-2</c:v>
                </c:pt>
                <c:pt idx="88">
                  <c:v>1.0488422389219819E-2</c:v>
                </c:pt>
                <c:pt idx="89">
                  <c:v>1.0229695297656671E-2</c:v>
                </c:pt>
                <c:pt idx="90">
                  <c:v>9.9684849790780648E-3</c:v>
                </c:pt>
                <c:pt idx="91">
                  <c:v>9.7048548414840289E-3</c:v>
                </c:pt>
                <c:pt idx="92">
                  <c:v>9.4388688802782231E-3</c:v>
                </c:pt>
                <c:pt idx="93">
                  <c:v>9.1705916627332056E-3</c:v>
                </c:pt>
                <c:pt idx="94">
                  <c:v>8.9000883123169765E-3</c:v>
                </c:pt>
                <c:pt idx="95">
                  <c:v>8.6274244928844068E-3</c:v>
                </c:pt>
                <c:pt idx="96">
                  <c:v>8.3526663927375906E-3</c:v>
                </c:pt>
                <c:pt idx="97">
                  <c:v>8.0758807085587834E-3</c:v>
                </c:pt>
                <c:pt idx="98">
                  <c:v>7.7971346292200483E-3</c:v>
                </c:pt>
                <c:pt idx="99">
                  <c:v>7.5164958194733041E-3</c:v>
                </c:pt>
                <c:pt idx="100">
                  <c:v>7.2340324035249683E-3</c:v>
                </c:pt>
                <c:pt idx="101">
                  <c:v>6.9498129484989873E-3</c:v>
                </c:pt>
                <c:pt idx="102">
                  <c:v>6.6639064477923655E-3</c:v>
                </c:pt>
                <c:pt idx="103">
                  <c:v>6.3763823043272768E-3</c:v>
                </c:pt>
                <c:pt idx="104">
                  <c:v>6.0873103137036588E-3</c:v>
                </c:pt>
                <c:pt idx="105">
                  <c:v>5.7967606472566109E-3</c:v>
                </c:pt>
                <c:pt idx="106">
                  <c:v>5.5048038350224548E-3</c:v>
                </c:pt>
                <c:pt idx="107">
                  <c:v>5.2115107486178456E-3</c:v>
                </c:pt>
                <c:pt idx="108">
                  <c:v>4.9169525840358471E-3</c:v>
                </c:pt>
                <c:pt idx="109">
                  <c:v>4.621200844363382E-3</c:v>
                </c:pt>
                <c:pt idx="110">
                  <c:v>4.32432732242402E-3</c:v>
                </c:pt>
                <c:pt idx="111">
                  <c:v>4.0264040833505503E-3</c:v>
                </c:pt>
                <c:pt idx="112">
                  <c:v>3.7275034470913289E-3</c:v>
                </c:pt>
                <c:pt idx="113">
                  <c:v>3.4276979708549016E-3</c:v>
                </c:pt>
                <c:pt idx="114">
                  <c:v>3.1270604314968969E-3</c:v>
                </c:pt>
                <c:pt idx="115">
                  <c:v>2.8256638078537366E-3</c:v>
                </c:pt>
                <c:pt idx="116">
                  <c:v>2.523581263027179E-3</c:v>
                </c:pt>
                <c:pt idx="117">
                  <c:v>2.2208861266242719E-3</c:v>
                </c:pt>
                <c:pt idx="118">
                  <c:v>1.9176518769567451E-3</c:v>
                </c:pt>
                <c:pt idx="119">
                  <c:v>1.6139521232044472E-3</c:v>
                </c:pt>
                <c:pt idx="120">
                  <c:v>1.3098605875468752E-3</c:v>
                </c:pt>
                <c:pt idx="121">
                  <c:v>1.0054510872674108E-3</c:v>
                </c:pt>
                <c:pt idx="122">
                  <c:v>7.0079751683433311E-4</c:v>
                </c:pt>
                <c:pt idx="123">
                  <c:v>3.9597382996323403E-4</c:v>
                </c:pt>
                <c:pt idx="124">
                  <c:v>9.1054021664911753E-5</c:v>
                </c:pt>
                <c:pt idx="125">
                  <c:v>-2.138878897166204E-4</c:v>
                </c:pt>
                <c:pt idx="126">
                  <c:v>-5.1877788047192854E-4</c:v>
                </c:pt>
                <c:pt idx="127">
                  <c:v>-8.2354193949511604E-4</c:v>
                </c:pt>
                <c:pt idx="128">
                  <c:v>-1.128106086249861E-3</c:v>
                </c:pt>
                <c:pt idx="129">
                  <c:v>-1.4323963887278941E-3</c:v>
                </c:pt>
                <c:pt idx="130">
                  <c:v>-1.7363389813958349E-3</c:v>
                </c:pt>
                <c:pt idx="131">
                  <c:v>-2.0398600831257625E-3</c:v>
                </c:pt>
                <c:pt idx="132">
                  <c:v>-2.3428860151053824E-3</c:v>
                </c:pt>
                <c:pt idx="133">
                  <c:v>-2.6453432187233564E-3</c:v>
                </c:pt>
                <c:pt idx="134">
                  <c:v>-2.9471582734253718E-3</c:v>
                </c:pt>
                <c:pt idx="135">
                  <c:v>-3.2482579145368179E-3</c:v>
                </c:pt>
                <c:pt idx="136">
                  <c:v>-3.5485690510474966E-3</c:v>
                </c:pt>
                <c:pt idx="137">
                  <c:v>-3.8480187833543058E-3</c:v>
                </c:pt>
                <c:pt idx="138">
                  <c:v>-4.1465344209573275E-3</c:v>
                </c:pt>
                <c:pt idx="139">
                  <c:v>-4.4440435001052853E-3</c:v>
                </c:pt>
                <c:pt idx="140">
                  <c:v>-4.7404738013858364E-3</c:v>
                </c:pt>
                <c:pt idx="141">
                  <c:v>-5.0357533672566734E-3</c:v>
                </c:pt>
                <c:pt idx="142">
                  <c:v>-5.3298105195129317E-3</c:v>
                </c:pt>
                <c:pt idx="143">
                  <c:v>-5.6225738766869163E-3</c:v>
                </c:pt>
                <c:pt idx="144">
                  <c:v>-5.9139723713756724E-3</c:v>
                </c:pt>
                <c:pt idx="145">
                  <c:v>-6.2039352674924378E-3</c:v>
                </c:pt>
                <c:pt idx="146">
                  <c:v>-6.4923921774375521E-3</c:v>
                </c:pt>
                <c:pt idx="147">
                  <c:v>-6.7792730791848867E-3</c:v>
                </c:pt>
                <c:pt idx="148">
                  <c:v>-7.0645083332794142E-3</c:v>
                </c:pt>
                <c:pt idx="149">
                  <c:v>-7.3480286997420425E-3</c:v>
                </c:pt>
                <c:pt idx="150">
                  <c:v>-7.6297653548773308E-3</c:v>
                </c:pt>
                <c:pt idx="151">
                  <c:v>-7.9096499079803033E-3</c:v>
                </c:pt>
                <c:pt idx="152">
                  <c:v>-8.1876144179380082E-3</c:v>
                </c:pt>
                <c:pt idx="153">
                  <c:v>-8.4635914097220925E-3</c:v>
                </c:pt>
                <c:pt idx="154">
                  <c:v>-8.7375138907680762E-3</c:v>
                </c:pt>
                <c:pt idx="155">
                  <c:v>-9.0093153672376677E-3</c:v>
                </c:pt>
                <c:pt idx="156">
                  <c:v>-9.2789298601598652E-3</c:v>
                </c:pt>
                <c:pt idx="157">
                  <c:v>-9.5462919214472208E-3</c:v>
                </c:pt>
                <c:pt idx="158">
                  <c:v>-9.8113366497830957E-3</c:v>
                </c:pt>
                <c:pt idx="159">
                  <c:v>-1.0073999706376308E-2</c:v>
                </c:pt>
                <c:pt idx="160">
                  <c:v>-1.0334217330579135E-2</c:v>
                </c:pt>
                <c:pt idx="161">
                  <c:v>-1.0591926355365051E-2</c:v>
                </c:pt>
                <c:pt idx="162">
                  <c:v>-1.0847064222662288E-2</c:v>
                </c:pt>
                <c:pt idx="163">
                  <c:v>-1.109956899853966E-2</c:v>
                </c:pt>
                <c:pt idx="164">
                  <c:v>-1.1349379388240795E-2</c:v>
                </c:pt>
                <c:pt idx="165">
                  <c:v>-1.1596434751063256E-2</c:v>
                </c:pt>
                <c:pt idx="166">
                  <c:v>-1.1840675115078922E-2</c:v>
                </c:pt>
                <c:pt idx="167">
                  <c:v>-1.2082041191691924E-2</c:v>
                </c:pt>
                <c:pt idx="168">
                  <c:v>-1.2320474390030839E-2</c:v>
                </c:pt>
                <c:pt idx="169">
                  <c:v>-1.2555916831171373E-2</c:v>
                </c:pt>
                <c:pt idx="170">
                  <c:v>-1.2788311362186364E-2</c:v>
                </c:pt>
                <c:pt idx="171">
                  <c:v>-1.3017601570019405E-2</c:v>
                </c:pt>
                <c:pt idx="172">
                  <c:v>-1.3243731795179015E-2</c:v>
                </c:pt>
                <c:pt idx="173">
                  <c:v>-1.3466647145249732E-2</c:v>
                </c:pt>
                <c:pt idx="174">
                  <c:v>-1.3686293508217155E-2</c:v>
                </c:pt>
                <c:pt idx="175">
                  <c:v>-1.3902617565603393E-2</c:v>
                </c:pt>
                <c:pt idx="176">
                  <c:v>-1.4115566805410033E-2</c:v>
                </c:pt>
                <c:pt idx="177">
                  <c:v>-1.4325089534865209E-2</c:v>
                </c:pt>
                <c:pt idx="178">
                  <c:v>-1.4531134892971894E-2</c:v>
                </c:pt>
                <c:pt idx="179">
                  <c:v>-1.4733652862854236E-2</c:v>
                </c:pt>
                <c:pt idx="180">
                  <c:v>-1.4932594283899021E-2</c:v>
                </c:pt>
                <c:pt idx="181">
                  <c:v>-1.5127910863689222E-2</c:v>
                </c:pt>
                <c:pt idx="182">
                  <c:v>-1.5319555189726882E-2</c:v>
                </c:pt>
                <c:pt idx="183">
                  <c:v>-1.5507480740942325E-2</c:v>
                </c:pt>
                <c:pt idx="184">
                  <c:v>-1.5691641898986981E-2</c:v>
                </c:pt>
                <c:pt idx="185">
                  <c:v>-1.5871993959307149E-2</c:v>
                </c:pt>
                <c:pt idx="186">
                  <c:v>-1.6048493141995857E-2</c:v>
                </c:pt>
                <c:pt idx="187">
                  <c:v>-1.6221096602420319E-2</c:v>
                </c:pt>
                <c:pt idx="188">
                  <c:v>-1.6389762441622293E-2</c:v>
                </c:pt>
                <c:pt idx="189">
                  <c:v>-1.6554449716488989E-2</c:v>
                </c:pt>
                <c:pt idx="190">
                  <c:v>-1.671511844969184E-2</c:v>
                </c:pt>
                <c:pt idx="191">
                  <c:v>-1.68717296393909E-2</c:v>
                </c:pt>
                <c:pt idx="192">
                  <c:v>-1.702424526870237E-2</c:v>
                </c:pt>
                <c:pt idx="193">
                  <c:v>-1.7172628314927149E-2</c:v>
                </c:pt>
                <c:pt idx="194">
                  <c:v>-1.7316842758537943E-2</c:v>
                </c:pt>
                <c:pt idx="195">
                  <c:v>-1.7456853591922904E-2</c:v>
                </c:pt>
                <c:pt idx="196">
                  <c:v>-1.7592626827883588E-2</c:v>
                </c:pt>
                <c:pt idx="197">
                  <c:v>-1.7724129507885295E-2</c:v>
                </c:pt>
                <c:pt idx="198">
                  <c:v>-1.785132971005763E-2</c:v>
                </c:pt>
                <c:pt idx="199">
                  <c:v>-1.7974196556943402E-2</c:v>
                </c:pt>
                <c:pt idx="200">
                  <c:v>-1.8092700222994099E-2</c:v>
                </c:pt>
                <c:pt idx="201">
                  <c:v>-1.8206811941809901E-2</c:v>
                </c:pt>
                <c:pt idx="202">
                  <c:v>-1.8316504013122653E-2</c:v>
                </c:pt>
                <c:pt idx="203">
                  <c:v>-1.8421749809519994E-2</c:v>
                </c:pt>
                <c:pt idx="204">
                  <c:v>-1.8522523782909125E-2</c:v>
                </c:pt>
                <c:pt idx="205">
                  <c:v>-1.8618801470718493E-2</c:v>
                </c:pt>
                <c:pt idx="206">
                  <c:v>-1.8710559501836019E-2</c:v>
                </c:pt>
                <c:pt idx="207">
                  <c:v>-1.8797775602282355E-2</c:v>
                </c:pt>
                <c:pt idx="208">
                  <c:v>-1.8880428600617831E-2</c:v>
                </c:pt>
                <c:pt idx="209">
                  <c:v>-1.8958498433081762E-2</c:v>
                </c:pt>
                <c:pt idx="210">
                  <c:v>-1.9031966148462857E-2</c:v>
                </c:pt>
                <c:pt idx="211">
                  <c:v>-1.9100813912699556E-2</c:v>
                </c:pt>
                <c:pt idx="212">
                  <c:v>-1.9165025013209217E-2</c:v>
                </c:pt>
                <c:pt idx="213">
                  <c:v>-1.9224583862945028E-2</c:v>
                </c:pt>
                <c:pt idx="214">
                  <c:v>-1.9279476004179716E-2</c:v>
                </c:pt>
                <c:pt idx="215">
                  <c:v>-1.9329688112015124E-2</c:v>
                </c:pt>
                <c:pt idx="216">
                  <c:v>-1.9375207997616776E-2</c:v>
                </c:pt>
                <c:pt idx="217">
                  <c:v>-1.9416024611172696E-2</c:v>
                </c:pt>
                <c:pt idx="218">
                  <c:v>-1.94521280445757E-2</c:v>
                </c:pt>
                <c:pt idx="219">
                  <c:v>-1.9483509533828557E-2</c:v>
                </c:pt>
                <c:pt idx="220">
                  <c:v>-1.9510161461171446E-2</c:v>
                </c:pt>
                <c:pt idx="221">
                  <c:v>-1.9532077356931125E-2</c:v>
                </c:pt>
                <c:pt idx="222">
                  <c:v>-1.954925190109141E-2</c:v>
                </c:pt>
                <c:pt idx="223">
                  <c:v>-1.9561680924584629E-2</c:v>
                </c:pt>
                <c:pt idx="224">
                  <c:v>-1.9569361410303621E-2</c:v>
                </c:pt>
                <c:pt idx="225">
                  <c:v>-1.9572291493834142E-2</c:v>
                </c:pt>
                <c:pt idx="226">
                  <c:v>-1.9570470463907443E-2</c:v>
                </c:pt>
                <c:pt idx="227">
                  <c:v>-1.9563898762572928E-2</c:v>
                </c:pt>
                <c:pt idx="228">
                  <c:v>-1.9552577985090847E-2</c:v>
                </c:pt>
                <c:pt idx="229">
                  <c:v>-1.9536510879545055E-2</c:v>
                </c:pt>
                <c:pt idx="230">
                  <c:v>-1.9515701346175921E-2</c:v>
                </c:pt>
                <c:pt idx="231">
                  <c:v>-1.9490154436433552E-2</c:v>
                </c:pt>
                <c:pt idx="232">
                  <c:v>-1.945987635175158E-2</c:v>
                </c:pt>
                <c:pt idx="233">
                  <c:v>-1.9424874442041776E-2</c:v>
                </c:pt>
                <c:pt idx="234">
                  <c:v>-1.9385157203909875E-2</c:v>
                </c:pt>
                <c:pt idx="235">
                  <c:v>-1.9340734278593064E-2</c:v>
                </c:pt>
                <c:pt idx="236">
                  <c:v>-1.92916164496196E-2</c:v>
                </c:pt>
                <c:pt idx="237">
                  <c:v>-1.9237815640191124E-2</c:v>
                </c:pt>
                <c:pt idx="238">
                  <c:v>-1.9179344910288373E-2</c:v>
                </c:pt>
                <c:pt idx="239">
                  <c:v>-1.9116218453500877E-2</c:v>
                </c:pt>
                <c:pt idx="240">
                  <c:v>-1.9048451593581522E-2</c:v>
                </c:pt>
                <c:pt idx="241">
                  <c:v>-1.897606078072676E-2</c:v>
                </c:pt>
                <c:pt idx="242">
                  <c:v>-1.8899063587583378E-2</c:v>
                </c:pt>
                <c:pt idx="243">
                  <c:v>-1.8817478704982786E-2</c:v>
                </c:pt>
                <c:pt idx="244">
                  <c:v>-1.8731325937403859E-2</c:v>
                </c:pt>
                <c:pt idx="245">
                  <c:v>-1.8640626198165488E-2</c:v>
                </c:pt>
                <c:pt idx="246">
                  <c:v>-1.8545401504349929E-2</c:v>
                </c:pt>
                <c:pt idx="247">
                  <c:v>-1.8445674971458215E-2</c:v>
                </c:pt>
                <c:pt idx="248">
                  <c:v>-1.8341470807798944E-2</c:v>
                </c:pt>
                <c:pt idx="249">
                  <c:v>-1.8232814308611782E-2</c:v>
                </c:pt>
                <c:pt idx="250">
                  <c:v>-1.8119731849927139E-2</c:v>
                </c:pt>
                <c:pt idx="251">
                  <c:v>-1.8002250882163451E-2</c:v>
                </c:pt>
                <c:pt idx="252">
                  <c:v>-1.7880399923463675E-2</c:v>
                </c:pt>
                <c:pt idx="253">
                  <c:v>-1.7754208552772602E-2</c:v>
                </c:pt>
                <c:pt idx="254">
                  <c:v>-1.7623707402656681E-2</c:v>
                </c:pt>
                <c:pt idx="255">
                  <c:v>-1.7488928151868019E-2</c:v>
                </c:pt>
                <c:pt idx="256">
                  <c:v>-1.7349903517654485E-2</c:v>
                </c:pt>
                <c:pt idx="257">
                  <c:v>-1.7206667247817681E-2</c:v>
                </c:pt>
                <c:pt idx="258">
                  <c:v>-1.7059254112520822E-2</c:v>
                </c:pt>
                <c:pt idx="259">
                  <c:v>-1.69076998958483E-2</c:v>
                </c:pt>
                <c:pt idx="260">
                  <c:v>-1.6752041387119256E-2</c:v>
                </c:pt>
                <c:pt idx="261">
                  <c:v>-1.6592316371957121E-2</c:v>
                </c:pt>
                <c:pt idx="262">
                  <c:v>-1.6428563623117197E-2</c:v>
                </c:pt>
                <c:pt idx="263">
                  <c:v>-1.6260822891074729E-2</c:v>
                </c:pt>
                <c:pt idx="264">
                  <c:v>-1.6089134894375606E-2</c:v>
                </c:pt>
                <c:pt idx="265">
                  <c:v>-1.5913541309752064E-2</c:v>
                </c:pt>
                <c:pt idx="266">
                  <c:v>-1.5734084762005749E-2</c:v>
                </c:pt>
                <c:pt idx="267">
                  <c:v>-1.555080881366072E-2</c:v>
                </c:pt>
                <c:pt idx="268">
                  <c:v>-1.5363757954388744E-2</c:v>
                </c:pt>
                <c:pt idx="269">
                  <c:v>-1.517297759020962E-2</c:v>
                </c:pt>
                <c:pt idx="270">
                  <c:v>-1.4978514032468943E-2</c:v>
                </c:pt>
                <c:pt idx="271">
                  <c:v>-1.4780414486596205E-2</c:v>
                </c:pt>
                <c:pt idx="272">
                  <c:v>-1.4578727040645802E-2</c:v>
                </c:pt>
                <c:pt idx="273">
                  <c:v>-1.4373500653623857E-2</c:v>
                </c:pt>
                <c:pt idx="274">
                  <c:v>-1.4164785143603498E-2</c:v>
                </c:pt>
                <c:pt idx="275">
                  <c:v>-1.3952631175631725E-2</c:v>
                </c:pt>
                <c:pt idx="276">
                  <c:v>-1.3737090249430591E-2</c:v>
                </c:pt>
                <c:pt idx="277">
                  <c:v>-1.3518214686895874E-2</c:v>
                </c:pt>
                <c:pt idx="278">
                  <c:v>-1.3296057619396E-2</c:v>
                </c:pt>
                <c:pt idx="279">
                  <c:v>-1.3070672974874631E-2</c:v>
                </c:pt>
                <c:pt idx="280">
                  <c:v>-1.2842115464759793E-2</c:v>
                </c:pt>
                <c:pt idx="281">
                  <c:v>-1.2610440570682903E-2</c:v>
                </c:pt>
                <c:pt idx="282">
                  <c:v>-1.2375704531010681E-2</c:v>
                </c:pt>
                <c:pt idx="283">
                  <c:v>-1.213796432719353E-2</c:v>
                </c:pt>
                <c:pt idx="284">
                  <c:v>-1.1897277669933431E-2</c:v>
                </c:pt>
                <c:pt idx="285">
                  <c:v>-1.1653702985174893E-2</c:v>
                </c:pt>
                <c:pt idx="286">
                  <c:v>-1.1407299399922166E-2</c:v>
                </c:pt>
                <c:pt idx="287">
                  <c:v>-1.1158126727886391E-2</c:v>
                </c:pt>
                <c:pt idx="288">
                  <c:v>-1.0906245454965983E-2</c:v>
                </c:pt>
                <c:pt idx="289">
                  <c:v>-1.0651716724563914E-2</c:v>
                </c:pt>
                <c:pt idx="290">
                  <c:v>-1.0394602322745267E-2</c:v>
                </c:pt>
                <c:pt idx="291">
                  <c:v>-1.0134964663238889E-2</c:v>
                </c:pt>
                <c:pt idx="292">
                  <c:v>-9.8728667722867043E-3</c:v>
                </c:pt>
                <c:pt idx="293">
                  <c:v>-9.6083722733441863E-3</c:v>
                </c:pt>
                <c:pt idx="294">
                  <c:v>-9.3415453716360446E-3</c:v>
                </c:pt>
                <c:pt idx="295">
                  <c:v>-9.0724508385705473E-3</c:v>
                </c:pt>
                <c:pt idx="296">
                  <c:v>-8.8011539960165374E-3</c:v>
                </c:pt>
                <c:pt idx="297">
                  <c:v>-8.5277207004466546E-3</c:v>
                </c:pt>
                <c:pt idx="298">
                  <c:v>-8.2522173269509412E-3</c:v>
                </c:pt>
                <c:pt idx="299">
                  <c:v>-7.9747107531244633E-3</c:v>
                </c:pt>
                <c:pt idx="300">
                  <c:v>-7.6952683428330379E-3</c:v>
                </c:pt>
                <c:pt idx="301">
                  <c:v>-7.4139579298607801E-3</c:v>
                </c:pt>
                <c:pt idx="302">
                  <c:v>-7.1308478014437083E-3</c:v>
                </c:pt>
                <c:pt idx="303">
                  <c:v>-6.8460066816932088E-3</c:v>
                </c:pt>
                <c:pt idx="304">
                  <c:v>-6.5595037149135289E-3</c:v>
                </c:pt>
                <c:pt idx="305">
                  <c:v>-6.271408448817112E-3</c:v>
                </c:pt>
                <c:pt idx="306">
                  <c:v>-5.9817908176421717E-3</c:v>
                </c:pt>
                <c:pt idx="307">
                  <c:v>-5.6907211251763356E-3</c:v>
                </c:pt>
                <c:pt idx="308">
                  <c:v>-5.3982700276906893E-3</c:v>
                </c:pt>
                <c:pt idx="309">
                  <c:v>-5.1045085167880774E-3</c:v>
                </c:pt>
                <c:pt idx="310">
                  <c:v>-4.8095079021701834E-3</c:v>
                </c:pt>
              </c:numCache>
            </c:numRef>
          </c:yVal>
          <c:smooth val="0"/>
          <c:extLst>
            <c:ext xmlns:c16="http://schemas.microsoft.com/office/drawing/2014/chart" uri="{C3380CC4-5D6E-409C-BE32-E72D297353CC}">
              <c16:uniqueId val="{00000000-B208-4381-BB05-4722EA16ED20}"/>
            </c:ext>
          </c:extLst>
        </c:ser>
        <c:ser>
          <c:idx val="1"/>
          <c:order val="1"/>
          <c:tx>
            <c:strRef>
              <c:f>Sheet2!$C$1</c:f>
              <c:strCache>
                <c:ptCount val="1"/>
                <c:pt idx="0">
                  <c:v>phase</c:v>
                </c:pt>
              </c:strCache>
            </c:strRef>
          </c:tx>
          <c:spPr>
            <a:ln w="38100" cap="rnd">
              <a:noFill/>
              <a:round/>
            </a:ln>
            <a:effectLst/>
          </c:spPr>
          <c:marker>
            <c:symbol val="circle"/>
            <c:size val="5"/>
            <c:spPr>
              <a:solidFill>
                <a:schemeClr val="accent2"/>
              </a:solidFill>
              <a:ln w="9525">
                <a:solidFill>
                  <a:schemeClr val="accent2"/>
                </a:solidFill>
              </a:ln>
              <a:effectLst/>
            </c:spPr>
          </c:marker>
          <c:xVal>
            <c:numRef>
              <c:f>Sheet2!$A$2:$A$312</c:f>
              <c:numCache>
                <c:formatCode>General</c:formatCode>
                <c:ptCount val="311"/>
                <c:pt idx="0">
                  <c:v>20</c:v>
                </c:pt>
                <c:pt idx="1">
                  <c:v>30</c:v>
                </c:pt>
                <c:pt idx="2">
                  <c:v>40</c:v>
                </c:pt>
                <c:pt idx="3">
                  <c:v>50</c:v>
                </c:pt>
                <c:pt idx="4">
                  <c:v>60</c:v>
                </c:pt>
                <c:pt idx="5">
                  <c:v>70</c:v>
                </c:pt>
                <c:pt idx="6">
                  <c:v>80</c:v>
                </c:pt>
                <c:pt idx="7">
                  <c:v>90</c:v>
                </c:pt>
                <c:pt idx="8">
                  <c:v>100</c:v>
                </c:pt>
                <c:pt idx="9">
                  <c:v>110</c:v>
                </c:pt>
                <c:pt idx="10">
                  <c:v>120</c:v>
                </c:pt>
                <c:pt idx="11">
                  <c:v>130</c:v>
                </c:pt>
                <c:pt idx="12">
                  <c:v>140</c:v>
                </c:pt>
                <c:pt idx="13">
                  <c:v>150</c:v>
                </c:pt>
                <c:pt idx="14">
                  <c:v>160</c:v>
                </c:pt>
                <c:pt idx="15">
                  <c:v>170</c:v>
                </c:pt>
                <c:pt idx="16">
                  <c:v>180</c:v>
                </c:pt>
                <c:pt idx="17">
                  <c:v>190</c:v>
                </c:pt>
                <c:pt idx="18">
                  <c:v>200</c:v>
                </c:pt>
                <c:pt idx="19">
                  <c:v>210</c:v>
                </c:pt>
                <c:pt idx="20">
                  <c:v>220</c:v>
                </c:pt>
                <c:pt idx="21">
                  <c:v>230</c:v>
                </c:pt>
                <c:pt idx="22">
                  <c:v>240</c:v>
                </c:pt>
                <c:pt idx="23">
                  <c:v>250</c:v>
                </c:pt>
                <c:pt idx="24">
                  <c:v>260</c:v>
                </c:pt>
                <c:pt idx="25">
                  <c:v>270</c:v>
                </c:pt>
                <c:pt idx="26">
                  <c:v>280</c:v>
                </c:pt>
                <c:pt idx="27">
                  <c:v>290</c:v>
                </c:pt>
                <c:pt idx="28">
                  <c:v>300</c:v>
                </c:pt>
                <c:pt idx="29">
                  <c:v>310</c:v>
                </c:pt>
                <c:pt idx="30">
                  <c:v>320</c:v>
                </c:pt>
                <c:pt idx="31">
                  <c:v>330</c:v>
                </c:pt>
                <c:pt idx="32">
                  <c:v>340</c:v>
                </c:pt>
                <c:pt idx="33">
                  <c:v>350</c:v>
                </c:pt>
                <c:pt idx="34">
                  <c:v>360</c:v>
                </c:pt>
                <c:pt idx="35">
                  <c:v>370</c:v>
                </c:pt>
                <c:pt idx="36">
                  <c:v>380</c:v>
                </c:pt>
                <c:pt idx="37">
                  <c:v>390</c:v>
                </c:pt>
                <c:pt idx="38">
                  <c:v>400</c:v>
                </c:pt>
                <c:pt idx="39">
                  <c:v>410</c:v>
                </c:pt>
                <c:pt idx="40">
                  <c:v>420</c:v>
                </c:pt>
                <c:pt idx="41">
                  <c:v>430</c:v>
                </c:pt>
                <c:pt idx="42">
                  <c:v>440</c:v>
                </c:pt>
                <c:pt idx="43">
                  <c:v>450</c:v>
                </c:pt>
                <c:pt idx="44">
                  <c:v>460</c:v>
                </c:pt>
                <c:pt idx="45">
                  <c:v>470</c:v>
                </c:pt>
                <c:pt idx="46">
                  <c:v>480</c:v>
                </c:pt>
                <c:pt idx="47">
                  <c:v>490</c:v>
                </c:pt>
                <c:pt idx="48">
                  <c:v>500</c:v>
                </c:pt>
                <c:pt idx="49">
                  <c:v>510</c:v>
                </c:pt>
                <c:pt idx="50">
                  <c:v>520</c:v>
                </c:pt>
                <c:pt idx="51">
                  <c:v>530</c:v>
                </c:pt>
                <c:pt idx="52">
                  <c:v>540</c:v>
                </c:pt>
                <c:pt idx="53">
                  <c:v>550</c:v>
                </c:pt>
                <c:pt idx="54">
                  <c:v>560</c:v>
                </c:pt>
                <c:pt idx="55">
                  <c:v>570</c:v>
                </c:pt>
                <c:pt idx="56">
                  <c:v>580</c:v>
                </c:pt>
                <c:pt idx="57">
                  <c:v>590</c:v>
                </c:pt>
                <c:pt idx="58">
                  <c:v>600</c:v>
                </c:pt>
                <c:pt idx="59">
                  <c:v>610</c:v>
                </c:pt>
                <c:pt idx="60">
                  <c:v>620</c:v>
                </c:pt>
                <c:pt idx="61">
                  <c:v>630</c:v>
                </c:pt>
                <c:pt idx="62">
                  <c:v>640</c:v>
                </c:pt>
                <c:pt idx="63">
                  <c:v>650</c:v>
                </c:pt>
                <c:pt idx="64">
                  <c:v>660</c:v>
                </c:pt>
                <c:pt idx="65">
                  <c:v>670</c:v>
                </c:pt>
                <c:pt idx="66">
                  <c:v>680</c:v>
                </c:pt>
                <c:pt idx="67">
                  <c:v>690</c:v>
                </c:pt>
                <c:pt idx="68">
                  <c:v>700</c:v>
                </c:pt>
                <c:pt idx="69">
                  <c:v>710</c:v>
                </c:pt>
                <c:pt idx="70">
                  <c:v>720</c:v>
                </c:pt>
                <c:pt idx="71">
                  <c:v>730</c:v>
                </c:pt>
                <c:pt idx="72">
                  <c:v>740</c:v>
                </c:pt>
                <c:pt idx="73">
                  <c:v>750</c:v>
                </c:pt>
                <c:pt idx="74">
                  <c:v>760</c:v>
                </c:pt>
                <c:pt idx="75">
                  <c:v>770</c:v>
                </c:pt>
                <c:pt idx="76">
                  <c:v>780</c:v>
                </c:pt>
                <c:pt idx="77">
                  <c:v>790</c:v>
                </c:pt>
                <c:pt idx="78">
                  <c:v>800</c:v>
                </c:pt>
                <c:pt idx="79">
                  <c:v>810</c:v>
                </c:pt>
                <c:pt idx="80">
                  <c:v>820</c:v>
                </c:pt>
                <c:pt idx="81">
                  <c:v>830</c:v>
                </c:pt>
                <c:pt idx="82">
                  <c:v>840</c:v>
                </c:pt>
                <c:pt idx="83">
                  <c:v>850</c:v>
                </c:pt>
                <c:pt idx="84">
                  <c:v>860</c:v>
                </c:pt>
                <c:pt idx="85">
                  <c:v>870</c:v>
                </c:pt>
                <c:pt idx="86">
                  <c:v>880</c:v>
                </c:pt>
                <c:pt idx="87">
                  <c:v>890</c:v>
                </c:pt>
                <c:pt idx="88">
                  <c:v>900</c:v>
                </c:pt>
                <c:pt idx="89">
                  <c:v>910</c:v>
                </c:pt>
                <c:pt idx="90">
                  <c:v>920</c:v>
                </c:pt>
                <c:pt idx="91">
                  <c:v>930</c:v>
                </c:pt>
                <c:pt idx="92">
                  <c:v>940</c:v>
                </c:pt>
                <c:pt idx="93">
                  <c:v>950</c:v>
                </c:pt>
                <c:pt idx="94">
                  <c:v>960</c:v>
                </c:pt>
                <c:pt idx="95">
                  <c:v>970</c:v>
                </c:pt>
                <c:pt idx="96">
                  <c:v>980</c:v>
                </c:pt>
                <c:pt idx="97">
                  <c:v>990</c:v>
                </c:pt>
                <c:pt idx="98">
                  <c:v>1000</c:v>
                </c:pt>
                <c:pt idx="99">
                  <c:v>1010</c:v>
                </c:pt>
                <c:pt idx="100">
                  <c:v>1020</c:v>
                </c:pt>
                <c:pt idx="101">
                  <c:v>1030</c:v>
                </c:pt>
                <c:pt idx="102">
                  <c:v>1040</c:v>
                </c:pt>
                <c:pt idx="103">
                  <c:v>1050</c:v>
                </c:pt>
                <c:pt idx="104">
                  <c:v>1060</c:v>
                </c:pt>
                <c:pt idx="105">
                  <c:v>1070</c:v>
                </c:pt>
                <c:pt idx="106">
                  <c:v>1080</c:v>
                </c:pt>
                <c:pt idx="107">
                  <c:v>1090</c:v>
                </c:pt>
                <c:pt idx="108">
                  <c:v>1100</c:v>
                </c:pt>
                <c:pt idx="109">
                  <c:v>1110</c:v>
                </c:pt>
                <c:pt idx="110">
                  <c:v>1120</c:v>
                </c:pt>
                <c:pt idx="111">
                  <c:v>1130</c:v>
                </c:pt>
                <c:pt idx="112">
                  <c:v>1140</c:v>
                </c:pt>
                <c:pt idx="113">
                  <c:v>1150</c:v>
                </c:pt>
                <c:pt idx="114">
                  <c:v>1160</c:v>
                </c:pt>
                <c:pt idx="115">
                  <c:v>1170</c:v>
                </c:pt>
                <c:pt idx="116">
                  <c:v>1180</c:v>
                </c:pt>
                <c:pt idx="117">
                  <c:v>1190</c:v>
                </c:pt>
                <c:pt idx="118">
                  <c:v>1200</c:v>
                </c:pt>
                <c:pt idx="119">
                  <c:v>1210</c:v>
                </c:pt>
                <c:pt idx="120">
                  <c:v>1220</c:v>
                </c:pt>
                <c:pt idx="121">
                  <c:v>1230</c:v>
                </c:pt>
                <c:pt idx="122">
                  <c:v>1240</c:v>
                </c:pt>
                <c:pt idx="123">
                  <c:v>1250</c:v>
                </c:pt>
                <c:pt idx="124">
                  <c:v>1260</c:v>
                </c:pt>
                <c:pt idx="125">
                  <c:v>1270</c:v>
                </c:pt>
                <c:pt idx="126">
                  <c:v>1280</c:v>
                </c:pt>
                <c:pt idx="127">
                  <c:v>1290</c:v>
                </c:pt>
                <c:pt idx="128">
                  <c:v>1300</c:v>
                </c:pt>
                <c:pt idx="129">
                  <c:v>1310</c:v>
                </c:pt>
                <c:pt idx="130">
                  <c:v>1320</c:v>
                </c:pt>
                <c:pt idx="131">
                  <c:v>1330</c:v>
                </c:pt>
                <c:pt idx="132">
                  <c:v>1340</c:v>
                </c:pt>
                <c:pt idx="133">
                  <c:v>1350</c:v>
                </c:pt>
                <c:pt idx="134">
                  <c:v>1360</c:v>
                </c:pt>
                <c:pt idx="135">
                  <c:v>1370</c:v>
                </c:pt>
                <c:pt idx="136">
                  <c:v>1380</c:v>
                </c:pt>
                <c:pt idx="137">
                  <c:v>1390</c:v>
                </c:pt>
                <c:pt idx="138">
                  <c:v>1400</c:v>
                </c:pt>
                <c:pt idx="139">
                  <c:v>1410</c:v>
                </c:pt>
                <c:pt idx="140">
                  <c:v>1420</c:v>
                </c:pt>
                <c:pt idx="141">
                  <c:v>1430</c:v>
                </c:pt>
                <c:pt idx="142">
                  <c:v>1440</c:v>
                </c:pt>
                <c:pt idx="143">
                  <c:v>1450</c:v>
                </c:pt>
                <c:pt idx="144">
                  <c:v>1460</c:v>
                </c:pt>
                <c:pt idx="145">
                  <c:v>1470</c:v>
                </c:pt>
                <c:pt idx="146">
                  <c:v>1480</c:v>
                </c:pt>
                <c:pt idx="147">
                  <c:v>1490</c:v>
                </c:pt>
                <c:pt idx="148">
                  <c:v>1500</c:v>
                </c:pt>
                <c:pt idx="149">
                  <c:v>1510</c:v>
                </c:pt>
                <c:pt idx="150">
                  <c:v>1520</c:v>
                </c:pt>
                <c:pt idx="151">
                  <c:v>1530</c:v>
                </c:pt>
                <c:pt idx="152">
                  <c:v>1540</c:v>
                </c:pt>
                <c:pt idx="153">
                  <c:v>1550</c:v>
                </c:pt>
                <c:pt idx="154">
                  <c:v>1560</c:v>
                </c:pt>
                <c:pt idx="155">
                  <c:v>1570</c:v>
                </c:pt>
                <c:pt idx="156">
                  <c:v>1580</c:v>
                </c:pt>
                <c:pt idx="157">
                  <c:v>1590</c:v>
                </c:pt>
                <c:pt idx="158">
                  <c:v>1600</c:v>
                </c:pt>
                <c:pt idx="159">
                  <c:v>1610</c:v>
                </c:pt>
                <c:pt idx="160">
                  <c:v>1620</c:v>
                </c:pt>
                <c:pt idx="161">
                  <c:v>1630</c:v>
                </c:pt>
                <c:pt idx="162">
                  <c:v>1640</c:v>
                </c:pt>
                <c:pt idx="163">
                  <c:v>1650</c:v>
                </c:pt>
                <c:pt idx="164">
                  <c:v>1660</c:v>
                </c:pt>
                <c:pt idx="165">
                  <c:v>1670</c:v>
                </c:pt>
                <c:pt idx="166">
                  <c:v>1680</c:v>
                </c:pt>
                <c:pt idx="167">
                  <c:v>1690</c:v>
                </c:pt>
                <c:pt idx="168">
                  <c:v>1700</c:v>
                </c:pt>
                <c:pt idx="169">
                  <c:v>1710</c:v>
                </c:pt>
                <c:pt idx="170">
                  <c:v>1720</c:v>
                </c:pt>
                <c:pt idx="171">
                  <c:v>1730</c:v>
                </c:pt>
                <c:pt idx="172">
                  <c:v>1740</c:v>
                </c:pt>
                <c:pt idx="173">
                  <c:v>1750</c:v>
                </c:pt>
                <c:pt idx="174">
                  <c:v>1760</c:v>
                </c:pt>
                <c:pt idx="175">
                  <c:v>1770</c:v>
                </c:pt>
                <c:pt idx="176">
                  <c:v>1780</c:v>
                </c:pt>
                <c:pt idx="177">
                  <c:v>1790</c:v>
                </c:pt>
                <c:pt idx="178">
                  <c:v>1800</c:v>
                </c:pt>
                <c:pt idx="179">
                  <c:v>1810</c:v>
                </c:pt>
                <c:pt idx="180">
                  <c:v>1820</c:v>
                </c:pt>
                <c:pt idx="181">
                  <c:v>1830</c:v>
                </c:pt>
                <c:pt idx="182">
                  <c:v>1840</c:v>
                </c:pt>
                <c:pt idx="183">
                  <c:v>1850</c:v>
                </c:pt>
                <c:pt idx="184">
                  <c:v>1860</c:v>
                </c:pt>
                <c:pt idx="185">
                  <c:v>1870</c:v>
                </c:pt>
                <c:pt idx="186">
                  <c:v>1880</c:v>
                </c:pt>
                <c:pt idx="187">
                  <c:v>1890</c:v>
                </c:pt>
                <c:pt idx="188">
                  <c:v>1900</c:v>
                </c:pt>
                <c:pt idx="189">
                  <c:v>1910</c:v>
                </c:pt>
                <c:pt idx="190">
                  <c:v>1920</c:v>
                </c:pt>
                <c:pt idx="191">
                  <c:v>1930</c:v>
                </c:pt>
                <c:pt idx="192">
                  <c:v>1940</c:v>
                </c:pt>
                <c:pt idx="193">
                  <c:v>1950</c:v>
                </c:pt>
                <c:pt idx="194">
                  <c:v>1960</c:v>
                </c:pt>
                <c:pt idx="195">
                  <c:v>1970</c:v>
                </c:pt>
                <c:pt idx="196">
                  <c:v>1980</c:v>
                </c:pt>
                <c:pt idx="197">
                  <c:v>1990</c:v>
                </c:pt>
                <c:pt idx="198">
                  <c:v>2000</c:v>
                </c:pt>
                <c:pt idx="199">
                  <c:v>2010</c:v>
                </c:pt>
                <c:pt idx="200">
                  <c:v>2020</c:v>
                </c:pt>
                <c:pt idx="201">
                  <c:v>2030</c:v>
                </c:pt>
                <c:pt idx="202">
                  <c:v>2040</c:v>
                </c:pt>
                <c:pt idx="203">
                  <c:v>2050</c:v>
                </c:pt>
                <c:pt idx="204">
                  <c:v>2060</c:v>
                </c:pt>
                <c:pt idx="205">
                  <c:v>2070</c:v>
                </c:pt>
                <c:pt idx="206">
                  <c:v>2080</c:v>
                </c:pt>
                <c:pt idx="207">
                  <c:v>2090</c:v>
                </c:pt>
                <c:pt idx="208">
                  <c:v>2100</c:v>
                </c:pt>
                <c:pt idx="209">
                  <c:v>2110</c:v>
                </c:pt>
                <c:pt idx="210">
                  <c:v>2120</c:v>
                </c:pt>
                <c:pt idx="211">
                  <c:v>2130</c:v>
                </c:pt>
                <c:pt idx="212">
                  <c:v>2140</c:v>
                </c:pt>
                <c:pt idx="213">
                  <c:v>2150</c:v>
                </c:pt>
                <c:pt idx="214">
                  <c:v>2160</c:v>
                </c:pt>
                <c:pt idx="215">
                  <c:v>2170</c:v>
                </c:pt>
                <c:pt idx="216">
                  <c:v>2180</c:v>
                </c:pt>
                <c:pt idx="217">
                  <c:v>2190</c:v>
                </c:pt>
                <c:pt idx="218">
                  <c:v>2200</c:v>
                </c:pt>
                <c:pt idx="219">
                  <c:v>2210</c:v>
                </c:pt>
                <c:pt idx="220">
                  <c:v>2220</c:v>
                </c:pt>
                <c:pt idx="221">
                  <c:v>2230</c:v>
                </c:pt>
                <c:pt idx="222">
                  <c:v>2240</c:v>
                </c:pt>
                <c:pt idx="223">
                  <c:v>2250</c:v>
                </c:pt>
                <c:pt idx="224">
                  <c:v>2260</c:v>
                </c:pt>
                <c:pt idx="225">
                  <c:v>2270</c:v>
                </c:pt>
                <c:pt idx="226">
                  <c:v>2280</c:v>
                </c:pt>
                <c:pt idx="227">
                  <c:v>2290</c:v>
                </c:pt>
                <c:pt idx="228">
                  <c:v>2300</c:v>
                </c:pt>
                <c:pt idx="229">
                  <c:v>2310</c:v>
                </c:pt>
                <c:pt idx="230">
                  <c:v>2320</c:v>
                </c:pt>
                <c:pt idx="231">
                  <c:v>2330</c:v>
                </c:pt>
                <c:pt idx="232">
                  <c:v>2340</c:v>
                </c:pt>
                <c:pt idx="233">
                  <c:v>2350</c:v>
                </c:pt>
                <c:pt idx="234">
                  <c:v>2360</c:v>
                </c:pt>
                <c:pt idx="235">
                  <c:v>2370</c:v>
                </c:pt>
                <c:pt idx="236">
                  <c:v>2380</c:v>
                </c:pt>
                <c:pt idx="237">
                  <c:v>2390</c:v>
                </c:pt>
                <c:pt idx="238">
                  <c:v>2400</c:v>
                </c:pt>
                <c:pt idx="239">
                  <c:v>2410</c:v>
                </c:pt>
                <c:pt idx="240">
                  <c:v>2420</c:v>
                </c:pt>
                <c:pt idx="241">
                  <c:v>2430</c:v>
                </c:pt>
                <c:pt idx="242">
                  <c:v>2440</c:v>
                </c:pt>
                <c:pt idx="243">
                  <c:v>2450</c:v>
                </c:pt>
                <c:pt idx="244">
                  <c:v>2460</c:v>
                </c:pt>
                <c:pt idx="245">
                  <c:v>2470</c:v>
                </c:pt>
                <c:pt idx="246">
                  <c:v>2480</c:v>
                </c:pt>
                <c:pt idx="247">
                  <c:v>2490</c:v>
                </c:pt>
                <c:pt idx="248">
                  <c:v>2500</c:v>
                </c:pt>
                <c:pt idx="249">
                  <c:v>2510</c:v>
                </c:pt>
                <c:pt idx="250">
                  <c:v>2520</c:v>
                </c:pt>
                <c:pt idx="251">
                  <c:v>2530</c:v>
                </c:pt>
                <c:pt idx="252">
                  <c:v>2540</c:v>
                </c:pt>
                <c:pt idx="253">
                  <c:v>2550</c:v>
                </c:pt>
                <c:pt idx="254">
                  <c:v>2560</c:v>
                </c:pt>
                <c:pt idx="255">
                  <c:v>2570</c:v>
                </c:pt>
                <c:pt idx="256">
                  <c:v>2580</c:v>
                </c:pt>
                <c:pt idx="257">
                  <c:v>2590</c:v>
                </c:pt>
                <c:pt idx="258">
                  <c:v>2600</c:v>
                </c:pt>
                <c:pt idx="259">
                  <c:v>2610</c:v>
                </c:pt>
                <c:pt idx="260">
                  <c:v>2620</c:v>
                </c:pt>
                <c:pt idx="261">
                  <c:v>2630</c:v>
                </c:pt>
                <c:pt idx="262">
                  <c:v>2640</c:v>
                </c:pt>
                <c:pt idx="263">
                  <c:v>2650</c:v>
                </c:pt>
                <c:pt idx="264">
                  <c:v>2660</c:v>
                </c:pt>
                <c:pt idx="265">
                  <c:v>2670</c:v>
                </c:pt>
                <c:pt idx="266">
                  <c:v>2680</c:v>
                </c:pt>
                <c:pt idx="267">
                  <c:v>2690</c:v>
                </c:pt>
                <c:pt idx="268">
                  <c:v>2700</c:v>
                </c:pt>
                <c:pt idx="269">
                  <c:v>2710</c:v>
                </c:pt>
                <c:pt idx="270">
                  <c:v>2720</c:v>
                </c:pt>
                <c:pt idx="271">
                  <c:v>2730</c:v>
                </c:pt>
                <c:pt idx="272">
                  <c:v>2740</c:v>
                </c:pt>
                <c:pt idx="273">
                  <c:v>2750</c:v>
                </c:pt>
                <c:pt idx="274">
                  <c:v>2760</c:v>
                </c:pt>
                <c:pt idx="275">
                  <c:v>2770</c:v>
                </c:pt>
                <c:pt idx="276">
                  <c:v>2780</c:v>
                </c:pt>
                <c:pt idx="277">
                  <c:v>2790</c:v>
                </c:pt>
                <c:pt idx="278">
                  <c:v>2800</c:v>
                </c:pt>
                <c:pt idx="279">
                  <c:v>2810</c:v>
                </c:pt>
                <c:pt idx="280">
                  <c:v>2820</c:v>
                </c:pt>
                <c:pt idx="281">
                  <c:v>2830</c:v>
                </c:pt>
                <c:pt idx="282">
                  <c:v>2840</c:v>
                </c:pt>
                <c:pt idx="283">
                  <c:v>2850</c:v>
                </c:pt>
                <c:pt idx="284">
                  <c:v>2860</c:v>
                </c:pt>
                <c:pt idx="285">
                  <c:v>2870</c:v>
                </c:pt>
                <c:pt idx="286">
                  <c:v>2880</c:v>
                </c:pt>
                <c:pt idx="287">
                  <c:v>2890</c:v>
                </c:pt>
                <c:pt idx="288">
                  <c:v>2900</c:v>
                </c:pt>
                <c:pt idx="289">
                  <c:v>2910</c:v>
                </c:pt>
                <c:pt idx="290">
                  <c:v>2920</c:v>
                </c:pt>
                <c:pt idx="291">
                  <c:v>2930</c:v>
                </c:pt>
                <c:pt idx="292">
                  <c:v>2940</c:v>
                </c:pt>
                <c:pt idx="293">
                  <c:v>2950</c:v>
                </c:pt>
                <c:pt idx="294">
                  <c:v>2960</c:v>
                </c:pt>
                <c:pt idx="295">
                  <c:v>2970</c:v>
                </c:pt>
                <c:pt idx="296">
                  <c:v>2980</c:v>
                </c:pt>
                <c:pt idx="297">
                  <c:v>2990</c:v>
                </c:pt>
                <c:pt idx="298">
                  <c:v>3000</c:v>
                </c:pt>
                <c:pt idx="299">
                  <c:v>3010</c:v>
                </c:pt>
                <c:pt idx="300">
                  <c:v>3020</c:v>
                </c:pt>
                <c:pt idx="301">
                  <c:v>3030</c:v>
                </c:pt>
                <c:pt idx="302">
                  <c:v>3040</c:v>
                </c:pt>
                <c:pt idx="303">
                  <c:v>3050</c:v>
                </c:pt>
                <c:pt idx="304">
                  <c:v>3060</c:v>
                </c:pt>
                <c:pt idx="305">
                  <c:v>3070</c:v>
                </c:pt>
                <c:pt idx="306">
                  <c:v>3080</c:v>
                </c:pt>
                <c:pt idx="307">
                  <c:v>3090</c:v>
                </c:pt>
                <c:pt idx="308">
                  <c:v>3100</c:v>
                </c:pt>
                <c:pt idx="309">
                  <c:v>3110</c:v>
                </c:pt>
                <c:pt idx="310">
                  <c:v>3120</c:v>
                </c:pt>
              </c:numCache>
            </c:numRef>
          </c:xVal>
          <c:yVal>
            <c:numRef>
              <c:f>Sheet2!$C$2:$C$312</c:f>
              <c:numCache>
                <c:formatCode>General</c:formatCode>
                <c:ptCount val="311"/>
                <c:pt idx="0">
                  <c:v>7.2891489567049684E-3</c:v>
                </c:pt>
                <c:pt idx="1">
                  <c:v>7.0013205856188903E-3</c:v>
                </c:pt>
                <c:pt idx="2">
                  <c:v>6.7118493766267686E-3</c:v>
                </c:pt>
                <c:pt idx="3">
                  <c:v>6.4208032532394764E-3</c:v>
                </c:pt>
                <c:pt idx="4">
                  <c:v>6.1282505085165761E-3</c:v>
                </c:pt>
                <c:pt idx="5">
                  <c:v>5.8342597890416294E-3</c:v>
                </c:pt>
                <c:pt idx="6">
                  <c:v>5.5389000788144483E-3</c:v>
                </c:pt>
                <c:pt idx="7">
                  <c:v>5.2422406830642332E-3</c:v>
                </c:pt>
                <c:pt idx="8">
                  <c:v>4.9443512119873101E-3</c:v>
                </c:pt>
                <c:pt idx="9">
                  <c:v>4.6453015644133252E-3</c:v>
                </c:pt>
                <c:pt idx="10">
                  <c:v>4.3451619114037044E-3</c:v>
                </c:pt>
                <c:pt idx="11">
                  <c:v>4.0440026797862044E-3</c:v>
                </c:pt>
                <c:pt idx="12">
                  <c:v>3.7418945356295268E-3</c:v>
                </c:pt>
                <c:pt idx="13">
                  <c:v>3.438908367661718E-3</c:v>
                </c:pt>
                <c:pt idx="14">
                  <c:v>3.1351152706363531E-3</c:v>
                </c:pt>
                <c:pt idx="15">
                  <c:v>2.8305865286503804E-3</c:v>
                </c:pt>
                <c:pt idx="16">
                  <c:v>2.525393598417529E-3</c:v>
                </c:pt>
                <c:pt idx="17">
                  <c:v>2.2196080925012246E-3</c:v>
                </c:pt>
                <c:pt idx="18">
                  <c:v>1.9133017625108922E-3</c:v>
                </c:pt>
                <c:pt idx="19">
                  <c:v>1.6065464822657167E-3</c:v>
                </c:pt>
                <c:pt idx="20">
                  <c:v>1.2994142309296437E-3</c:v>
                </c:pt>
                <c:pt idx="21">
                  <c:v>9.9197707612170205E-4</c:v>
                </c:pt>
                <c:pt idx="22">
                  <c:v>6.8430715700556349E-4</c:v>
                </c:pt>
                <c:pt idx="23">
                  <c:v>3.7647666736231395E-4</c:v>
                </c:pt>
                <c:pt idx="24">
                  <c:v>6.8557838650410268E-5</c:v>
                </c:pt>
                <c:pt idx="25">
                  <c:v>-2.393770769432058E-4</c:v>
                </c:pt>
                <c:pt idx="26">
                  <c:v>-5.4725582345685605E-4</c:v>
                </c:pt>
                <c:pt idx="27">
                  <c:v>-8.5500615810876084E-4</c:v>
                </c:pt>
                <c:pt idx="28">
                  <c:v>-1.1625558682485805E-3</c:v>
                </c:pt>
                <c:pt idx="29">
                  <c:v>-1.4698327883018881E-3</c:v>
                </c:pt>
                <c:pt idx="30">
                  <c:v>-1.7767648167035853E-3</c:v>
                </c:pt>
                <c:pt idx="31">
                  <c:v>-2.0832799328163445E-3</c:v>
                </c:pt>
                <c:pt idx="32">
                  <c:v>-2.3893062138299714E-3</c:v>
                </c:pt>
                <c:pt idx="33">
                  <c:v>-2.6947718516379024E-3</c:v>
                </c:pt>
                <c:pt idx="34">
                  <c:v>-2.9996051696867449E-3</c:v>
                </c:pt>
                <c:pt idx="35">
                  <c:v>-3.3037346397949514E-3</c:v>
                </c:pt>
                <c:pt idx="36">
                  <c:v>-3.607088898936686E-3</c:v>
                </c:pt>
                <c:pt idx="37">
                  <c:v>-3.9095967659869236E-3</c:v>
                </c:pt>
                <c:pt idx="38">
                  <c:v>-4.2111872584239167E-3</c:v>
                </c:pt>
                <c:pt idx="39">
                  <c:v>-4.5117896089849618E-3</c:v>
                </c:pt>
                <c:pt idx="40">
                  <c:v>-4.8113332822717582E-3</c:v>
                </c:pt>
                <c:pt idx="41">
                  <c:v>-5.1097479913013045E-3</c:v>
                </c:pt>
                <c:pt idx="42">
                  <c:v>-5.4069637139985182E-3</c:v>
                </c:pt>
                <c:pt idx="43">
                  <c:v>-5.7029107096266997E-3</c:v>
                </c:pt>
                <c:pt idx="44">
                  <c:v>-5.9975195351519642E-3</c:v>
                </c:pt>
                <c:pt idx="45">
                  <c:v>-6.290721061537872E-3</c:v>
                </c:pt>
                <c:pt idx="46">
                  <c:v>-6.5824464899662781E-3</c:v>
                </c:pt>
                <c:pt idx="47">
                  <c:v>-6.8726273679808082E-3</c:v>
                </c:pt>
                <c:pt idx="48">
                  <c:v>-7.161195605548989E-3</c:v>
                </c:pt>
                <c:pt idx="49">
                  <c:v>-7.4480834910393718E-3</c:v>
                </c:pt>
                <c:pt idx="50">
                  <c:v>-7.733223707109849E-3</c:v>
                </c:pt>
                <c:pt idx="51">
                  <c:v>-8.0165493465034487E-3</c:v>
                </c:pt>
                <c:pt idx="52">
                  <c:v>-8.2979939277479514E-3</c:v>
                </c:pt>
                <c:pt idx="53">
                  <c:v>-8.5774914107554986E-3</c:v>
                </c:pt>
                <c:pt idx="54">
                  <c:v>-8.854976212318736E-3</c:v>
                </c:pt>
                <c:pt idx="55">
                  <c:v>-9.1303832214996942E-3</c:v>
                </c:pt>
                <c:pt idx="56">
                  <c:v>-9.4036478149078645E-3</c:v>
                </c:pt>
                <c:pt idx="57">
                  <c:v>-9.6747058718638802E-3</c:v>
                </c:pt>
                <c:pt idx="58">
                  <c:v>-9.943493789445217E-3</c:v>
                </c:pt>
                <c:pt idx="59">
                  <c:v>-1.0209948497410458E-2</c:v>
                </c:pt>
                <c:pt idx="60">
                  <c:v>-1.0474007472998474E-2</c:v>
                </c:pt>
                <c:pt idx="61">
                  <c:v>-1.0735608755599238E-2</c:v>
                </c:pt>
                <c:pt idx="62">
                  <c:v>-1.0994690961292656E-2</c:v>
                </c:pt>
                <c:pt idx="63">
                  <c:v>-1.1251193297252139E-2</c:v>
                </c:pt>
                <c:pt idx="64">
                  <c:v>-1.1505055576009428E-2</c:v>
                </c:pt>
                <c:pt idx="65">
                  <c:v>-1.1756218229577398E-2</c:v>
                </c:pt>
                <c:pt idx="66">
                  <c:v>-1.2004622323427524E-2</c:v>
                </c:pt>
                <c:pt idx="67">
                  <c:v>-1.2250209570318641E-2</c:v>
                </c:pt>
                <c:pt idx="68">
                  <c:v>-1.2492922343973893E-2</c:v>
                </c:pt>
                <c:pt idx="69">
                  <c:v>-1.2732703692602546E-2</c:v>
                </c:pt>
                <c:pt idx="70">
                  <c:v>-1.2969497352263555E-2</c:v>
                </c:pt>
                <c:pt idx="71">
                  <c:v>-1.320324776006771E-2</c:v>
                </c:pt>
                <c:pt idx="72">
                  <c:v>-1.3433900067215294E-2</c:v>
                </c:pt>
                <c:pt idx="73">
                  <c:v>-1.3661400151866216E-2</c:v>
                </c:pt>
                <c:pt idx="74">
                  <c:v>-1.3885694631839474E-2</c:v>
                </c:pt>
                <c:pt idx="75">
                  <c:v>-1.4106730877139151E-2</c:v>
                </c:pt>
                <c:pt idx="76">
                  <c:v>-1.4324457022303876E-2</c:v>
                </c:pt>
                <c:pt idx="77">
                  <c:v>-1.4538821978576888E-2</c:v>
                </c:pt>
                <c:pt idx="78">
                  <c:v>-1.4749775445893851E-2</c:v>
                </c:pt>
                <c:pt idx="79">
                  <c:v>-1.4957267924685602E-2</c:v>
                </c:pt>
                <c:pt idx="80">
                  <c:v>-1.5161250727493091E-2</c:v>
                </c:pt>
                <c:pt idx="81">
                  <c:v>-1.5361675990391717E-2</c:v>
                </c:pt>
                <c:pt idx="82">
                  <c:v>-1.5558496684222434E-2</c:v>
                </c:pt>
                <c:pt idx="83">
                  <c:v>-1.5751666625627048E-2</c:v>
                </c:pt>
                <c:pt idx="84">
                  <c:v>-1.5941140487884968E-2</c:v>
                </c:pt>
                <c:pt idx="85">
                  <c:v>-1.6126873811548939E-2</c:v>
                </c:pt>
                <c:pt idx="86">
                  <c:v>-1.6308823014877398E-2</c:v>
                </c:pt>
                <c:pt idx="87">
                  <c:v>-1.6486945404060694E-2</c:v>
                </c:pt>
                <c:pt idx="88">
                  <c:v>-1.6661199183239161E-2</c:v>
                </c:pt>
                <c:pt idx="89">
                  <c:v>-1.6831543464310279E-2</c:v>
                </c:pt>
                <c:pt idx="90">
                  <c:v>-1.6997938276523027E-2</c:v>
                </c:pt>
                <c:pt idx="91">
                  <c:v>-1.7160344575856863E-2</c:v>
                </c:pt>
                <c:pt idx="92">
                  <c:v>-1.7318724254183234E-2</c:v>
                </c:pt>
                <c:pt idx="93">
                  <c:v>-1.7473040148207622E-2</c:v>
                </c:pt>
                <c:pt idx="94">
                  <c:v>-1.7623256048189699E-2</c:v>
                </c:pt>
                <c:pt idx="95">
                  <c:v>-1.7769336706439917E-2</c:v>
                </c:pt>
                <c:pt idx="96">
                  <c:v>-1.7911247845590186E-2</c:v>
                </c:pt>
                <c:pt idx="97">
                  <c:v>-1.8048956166637011E-2</c:v>
                </c:pt>
                <c:pt idx="98">
                  <c:v>-1.818242935675498E-2</c:v>
                </c:pt>
                <c:pt idx="99">
                  <c:v>-1.8311636096878841E-2</c:v>
                </c:pt>
                <c:pt idx="100">
                  <c:v>-1.8436546069052477E-2</c:v>
                </c:pt>
                <c:pt idx="101">
                  <c:v>-1.8557129963542855E-2</c:v>
                </c:pt>
                <c:pt idx="102">
                  <c:v>-1.8673359485717526E-2</c:v>
                </c:pt>
                <c:pt idx="103">
                  <c:v>-1.8785207362683819E-2</c:v>
                </c:pt>
                <c:pt idx="104">
                  <c:v>-1.8892647349688367E-2</c:v>
                </c:pt>
                <c:pt idx="105">
                  <c:v>-1.8995654236275365E-2</c:v>
                </c:pt>
                <c:pt idx="106">
                  <c:v>-1.9094203852202087E-2</c:v>
                </c:pt>
                <c:pt idx="107">
                  <c:v>-1.9188273073110409E-2</c:v>
                </c:pt>
                <c:pt idx="108">
                  <c:v>-1.9277839825952808E-2</c:v>
                </c:pt>
                <c:pt idx="109">
                  <c:v>-1.9362883094171793E-2</c:v>
                </c:pt>
                <c:pt idx="110">
                  <c:v>-1.9443382922631321E-2</c:v>
                </c:pt>
                <c:pt idx="111">
                  <c:v>-1.9519320422299254E-2</c:v>
                </c:pt>
                <c:pt idx="112">
                  <c:v>-1.9590677774679575E-2</c:v>
                </c:pt>
                <c:pt idx="113">
                  <c:v>-1.9657438235993453E-2</c:v>
                </c:pt>
                <c:pt idx="114">
                  <c:v>-1.971958614110814E-2</c:v>
                </c:pt>
                <c:pt idx="115">
                  <c:v>-1.9777106907212703E-2</c:v>
                </c:pt>
                <c:pt idx="116">
                  <c:v>-1.9829987037239878E-2</c:v>
                </c:pt>
                <c:pt idx="117">
                  <c:v>-1.9878214123033078E-2</c:v>
                </c:pt>
                <c:pt idx="118">
                  <c:v>-1.9921776848257956E-2</c:v>
                </c:pt>
                <c:pt idx="119">
                  <c:v>-1.9960664991057739E-2</c:v>
                </c:pt>
                <c:pt idx="120">
                  <c:v>-1.9994869426451733E-2</c:v>
                </c:pt>
                <c:pt idx="121">
                  <c:v>-2.0024382128476521E-2</c:v>
                </c:pt>
                <c:pt idx="122">
                  <c:v>-2.0049196172069163E-2</c:v>
                </c:pt>
                <c:pt idx="123">
                  <c:v>-2.0069305734692202E-2</c:v>
                </c:pt>
                <c:pt idx="124">
                  <c:v>-2.0084706097699866E-2</c:v>
                </c:pt>
                <c:pt idx="125">
                  <c:v>-2.0095393647445305E-2</c:v>
                </c:pt>
                <c:pt idx="126">
                  <c:v>-2.0101365876128503E-2</c:v>
                </c:pt>
                <c:pt idx="127">
                  <c:v>-2.010262138238474E-2</c:v>
                </c:pt>
                <c:pt idx="128">
                  <c:v>-2.0099159871613419E-2</c:v>
                </c:pt>
                <c:pt idx="129">
                  <c:v>-2.0090982156047175E-2</c:v>
                </c:pt>
                <c:pt idx="130">
                  <c:v>-2.0078090154561305E-2</c:v>
                </c:pt>
                <c:pt idx="131">
                  <c:v>-2.0060486892223502E-2</c:v>
                </c:pt>
                <c:pt idx="132">
                  <c:v>-2.0038176499584042E-2</c:v>
                </c:pt>
                <c:pt idx="133">
                  <c:v>-2.001116421170655E-2</c:v>
                </c:pt>
                <c:pt idx="134">
                  <c:v>-1.997945636693961E-2</c:v>
                </c:pt>
                <c:pt idx="135">
                  <c:v>-1.9943060405429501E-2</c:v>
                </c:pt>
                <c:pt idx="136">
                  <c:v>-1.9901984867374389E-2</c:v>
                </c:pt>
                <c:pt idx="137">
                  <c:v>-1.9856239391020387E-2</c:v>
                </c:pt>
                <c:pt idx="138">
                  <c:v>-1.9805834710399976E-2</c:v>
                </c:pt>
                <c:pt idx="139">
                  <c:v>-1.9750782652813294E-2</c:v>
                </c:pt>
                <c:pt idx="140">
                  <c:v>-1.9691096136052921E-2</c:v>
                </c:pt>
                <c:pt idx="141">
                  <c:v>-1.9626789165372714E-2</c:v>
                </c:pt>
                <c:pt idx="142">
                  <c:v>-1.9557876830201552E-2</c:v>
                </c:pt>
                <c:pt idx="143">
                  <c:v>-1.9484375300602656E-2</c:v>
                </c:pt>
                <c:pt idx="144">
                  <c:v>-1.9406301823479293E-2</c:v>
                </c:pt>
                <c:pt idx="145">
                  <c:v>-1.9323674718527896E-2</c:v>
                </c:pt>
                <c:pt idx="146">
                  <c:v>-1.9236513373939352E-2</c:v>
                </c:pt>
                <c:pt idx="147">
                  <c:v>-1.9144838241849683E-2</c:v>
                </c:pt>
                <c:pt idx="148">
                  <c:v>-1.9048670833540962E-2</c:v>
                </c:pt>
                <c:pt idx="149">
                  <c:v>-1.894803371439378E-2</c:v>
                </c:pt>
                <c:pt idx="150">
                  <c:v>-1.8842950498592363E-2</c:v>
                </c:pt>
                <c:pt idx="151">
                  <c:v>-1.8733445843583548E-2</c:v>
                </c:pt>
                <c:pt idx="152">
                  <c:v>-1.8619545444291036E-2</c:v>
                </c:pt>
                <c:pt idx="153">
                  <c:v>-1.8501276027086098E-2</c:v>
                </c:pt>
                <c:pt idx="154">
                  <c:v>-1.8378665343516381E-2</c:v>
                </c:pt>
                <c:pt idx="155">
                  <c:v>-1.8251742163794039E-2</c:v>
                </c:pt>
                <c:pt idx="156">
                  <c:v>-1.8120536270044913E-2</c:v>
                </c:pt>
                <c:pt idx="157">
                  <c:v>-1.7985078449320277E-2</c:v>
                </c:pt>
                <c:pt idx="158">
                  <c:v>-1.7845400486372696E-2</c:v>
                </c:pt>
                <c:pt idx="159">
                  <c:v>-1.7701535156197899E-2</c:v>
                </c:pt>
                <c:pt idx="160">
                  <c:v>-1.7553516216344166E-2</c:v>
                </c:pt>
                <c:pt idx="161">
                  <c:v>-1.7401378398991273E-2</c:v>
                </c:pt>
                <c:pt idx="162">
                  <c:v>-1.7245157402800672E-2</c:v>
                </c:pt>
                <c:pt idx="163">
                  <c:v>-1.7084889884538899E-2</c:v>
                </c:pt>
                <c:pt idx="164">
                  <c:v>-1.692061345047623E-2</c:v>
                </c:pt>
                <c:pt idx="165">
                  <c:v>-1.6752366647562425E-2</c:v>
                </c:pt>
                <c:pt idx="166">
                  <c:v>-1.6580188954381857E-2</c:v>
                </c:pt>
                <c:pt idx="167">
                  <c:v>-1.6404120771889946E-2</c:v>
                </c:pt>
                <c:pt idx="168">
                  <c:v>-1.6224203413933248E-2</c:v>
                </c:pt>
                <c:pt idx="169">
                  <c:v>-1.6040479097555231E-2</c:v>
                </c:pt>
                <c:pt idx="170">
                  <c:v>-1.5852990933090224E-2</c:v>
                </c:pt>
                <c:pt idx="171">
                  <c:v>-1.5661782914047719E-2</c:v>
                </c:pt>
                <c:pt idx="172">
                  <c:v>-1.5466899906789374E-2</c:v>
                </c:pt>
                <c:pt idx="173">
                  <c:v>-1.5268387640001341E-2</c:v>
                </c:pt>
                <c:pt idx="174">
                  <c:v>-1.506629269396409E-2</c:v>
                </c:pt>
                <c:pt idx="175">
                  <c:v>-1.4860662489622582E-2</c:v>
                </c:pt>
                <c:pt idx="176">
                  <c:v>-1.4651545277459007E-2</c:v>
                </c:pt>
                <c:pt idx="177">
                  <c:v>-1.4438990126171E-2</c:v>
                </c:pt>
                <c:pt idx="178">
                  <c:v>-1.4223046911157862E-2</c:v>
                </c:pt>
                <c:pt idx="179">
                  <c:v>-1.4003766302817364E-2</c:v>
                </c:pt>
                <c:pt idx="180">
                  <c:v>-1.3781199754656201E-2</c:v>
                </c:pt>
                <c:pt idx="181">
                  <c:v>-1.3555399491216485E-2</c:v>
                </c:pt>
                <c:pt idx="182">
                  <c:v>-1.3326418495821519E-2</c:v>
                </c:pt>
                <c:pt idx="183">
                  <c:v>-1.3094310498143342E-2</c:v>
                </c:pt>
                <c:pt idx="184">
                  <c:v>-1.2859129961595269E-2</c:v>
                </c:pt>
                <c:pt idx="185">
                  <c:v>-1.2620932070552258E-2</c:v>
                </c:pt>
                <c:pt idx="186">
                  <c:v>-1.237977271740197E-2</c:v>
                </c:pt>
                <c:pt idx="187">
                  <c:v>-1.2135708489429924E-2</c:v>
                </c:pt>
                <c:pt idx="188">
                  <c:v>-1.188879665554134E-2</c:v>
                </c:pt>
                <c:pt idx="189">
                  <c:v>-1.1639095152823279E-2</c:v>
                </c:pt>
                <c:pt idx="190">
                  <c:v>-1.138666257294981E-2</c:v>
                </c:pt>
                <c:pt idx="191">
                  <c:v>-1.1131558148433677E-2</c:v>
                </c:pt>
                <c:pt idx="192">
                  <c:v>-1.0873841738727633E-2</c:v>
                </c:pt>
                <c:pt idx="193">
                  <c:v>-1.0613573816178501E-2</c:v>
                </c:pt>
                <c:pt idx="194">
                  <c:v>-1.0350815451837646E-2</c:v>
                </c:pt>
                <c:pt idx="195">
                  <c:v>-1.008562830113072E-2</c:v>
                </c:pt>
                <c:pt idx="196">
                  <c:v>-9.8180745893905411E-3</c:v>
                </c:pt>
                <c:pt idx="197">
                  <c:v>-9.5482170972560013E-3</c:v>
                </c:pt>
                <c:pt idx="198">
                  <c:v>-9.2761191459408282E-3</c:v>
                </c:pt>
                <c:pt idx="199">
                  <c:v>-9.0018445823755178E-3</c:v>
                </c:pt>
                <c:pt idx="200">
                  <c:v>-8.7254577642257337E-3</c:v>
                </c:pt>
                <c:pt idx="201">
                  <c:v>-8.4470235447911164E-3</c:v>
                </c:pt>
                <c:pt idx="202">
                  <c:v>-8.1666072577875285E-3</c:v>
                </c:pt>
                <c:pt idx="203">
                  <c:v>-7.884274702016832E-3</c:v>
                </c:pt>
                <c:pt idx="204">
                  <c:v>-7.600092125927293E-3</c:v>
                </c:pt>
                <c:pt idx="205">
                  <c:v>-7.3141262120686419E-3</c:v>
                </c:pt>
                <c:pt idx="206">
                  <c:v>-7.0264440614452696E-3</c:v>
                </c:pt>
                <c:pt idx="207">
                  <c:v>-6.7371131777710699E-3</c:v>
                </c:pt>
                <c:pt idx="208">
                  <c:v>-6.4462014516300419E-3</c:v>
                </c:pt>
                <c:pt idx="209">
                  <c:v>-6.1537771445458441E-3</c:v>
                </c:pt>
                <c:pt idx="210">
                  <c:v>-5.8599088729645718E-3</c:v>
                </c:pt>
                <c:pt idx="211">
                  <c:v>-5.5646655921540071E-3</c:v>
                </c:pt>
                <c:pt idx="212">
                  <c:v>-5.2681165800235342E-3</c:v>
                </c:pt>
                <c:pt idx="213">
                  <c:v>-4.970331420868346E-3</c:v>
                </c:pt>
                <c:pt idx="214">
                  <c:v>-4.6713799890415872E-3</c:v>
                </c:pt>
                <c:pt idx="215">
                  <c:v>-4.3713324325586932E-3</c:v>
                </c:pt>
                <c:pt idx="216">
                  <c:v>-4.0702591566372419E-3</c:v>
                </c:pt>
                <c:pt idx="217">
                  <c:v>-3.7682308071767291E-3</c:v>
                </c:pt>
                <c:pt idx="218">
                  <c:v>-3.4653182541816061E-3</c:v>
                </c:pt>
                <c:pt idx="219">
                  <c:v>-3.1615925751319086E-3</c:v>
                </c:pt>
                <c:pt idx="220">
                  <c:v>-2.8571250383052039E-3</c:v>
                </c:pt>
                <c:pt idx="221">
                  <c:v>-2.5519870860535874E-3</c:v>
                </c:pt>
                <c:pt idx="222">
                  <c:v>-2.2462503180401007E-3</c:v>
                </c:pt>
                <c:pt idx="223">
                  <c:v>-1.9399864744379541E-3</c:v>
                </c:pt>
                <c:pt idx="224">
                  <c:v>-1.6332674190970629E-3</c:v>
                </c:pt>
                <c:pt idx="225">
                  <c:v>-1.3261651226812938E-3</c:v>
                </c:pt>
                <c:pt idx="226">
                  <c:v>-1.0187516457808299E-3</c:v>
                </c:pt>
                <c:pt idx="227">
                  <c:v>-7.1109912200343207E-4</c:v>
                </c:pt>
                <c:pt idx="228">
                  <c:v>-4.0327974104838903E-4</c:v>
                </c:pt>
                <c:pt idx="229">
                  <c:v>-9.536573176757429E-5</c:v>
                </c:pt>
                <c:pt idx="230">
                  <c:v>2.1257065478297039E-4</c:v>
                </c:pt>
                <c:pt idx="231">
                  <c:v>5.2045716229637566E-4</c:v>
                </c:pt>
                <c:pt idx="232">
                  <c:v>8.2822154616978548E-4</c:v>
                </c:pt>
                <c:pt idx="233">
                  <c:v>1.1357915904562726E-3</c:v>
                </c:pt>
                <c:pt idx="234">
                  <c:v>1.4430951248100301E-3</c:v>
                </c:pt>
                <c:pt idx="235">
                  <c:v>1.7500600414210423E-3</c:v>
                </c:pt>
                <c:pt idx="236">
                  <c:v>2.0566143119348135E-3</c:v>
                </c:pt>
                <c:pt idx="237">
                  <c:v>2.3626860043537362E-3</c:v>
                </c:pt>
                <c:pt idx="238">
                  <c:v>2.6682032999155681E-3</c:v>
                </c:pt>
                <c:pt idx="239">
                  <c:v>2.9730945099456039E-3</c:v>
                </c:pt>
                <c:pt idx="240">
                  <c:v>3.2772880926781409E-3</c:v>
                </c:pt>
                <c:pt idx="241">
                  <c:v>3.5807126700434836E-3</c:v>
                </c:pt>
                <c:pt idx="242">
                  <c:v>3.8832970444167003E-3</c:v>
                </c:pt>
                <c:pt idx="243">
                  <c:v>4.1849702153237862E-3</c:v>
                </c:pt>
                <c:pt idx="244">
                  <c:v>4.485661396101839E-3</c:v>
                </c:pt>
                <c:pt idx="245">
                  <c:v>4.7853000305087918E-3</c:v>
                </c:pt>
                <c:pt idx="246">
                  <c:v>5.0838158092793304E-3</c:v>
                </c:pt>
                <c:pt idx="247">
                  <c:v>5.3811386866226942E-3</c:v>
                </c:pt>
                <c:pt idx="248">
                  <c:v>5.6771988966586445E-3</c:v>
                </c:pt>
                <c:pt idx="249">
                  <c:v>5.9719269697879364E-3</c:v>
                </c:pt>
                <c:pt idx="250">
                  <c:v>6.2652537489930023E-3</c:v>
                </c:pt>
                <c:pt idx="251">
                  <c:v>6.5571104060655585E-3</c:v>
                </c:pt>
                <c:pt idx="252">
                  <c:v>6.8474284577568064E-3</c:v>
                </c:pt>
                <c:pt idx="253">
                  <c:v>7.1361397818469358E-3</c:v>
                </c:pt>
                <c:pt idx="254">
                  <c:v>7.423176633129659E-3</c:v>
                </c:pt>
                <c:pt idx="255">
                  <c:v>7.7084716593085302E-3</c:v>
                </c:pt>
                <c:pt idx="256">
                  <c:v>7.9919579168008965E-3</c:v>
                </c:pt>
                <c:pt idx="257">
                  <c:v>8.2735688864459551E-3</c:v>
                </c:pt>
                <c:pt idx="258">
                  <c:v>8.5532384891133725E-3</c:v>
                </c:pt>
                <c:pt idx="259">
                  <c:v>8.830901101208424E-3</c:v>
                </c:pt>
                <c:pt idx="260">
                  <c:v>9.1064915700704904E-3</c:v>
                </c:pt>
                <c:pt idx="261">
                  <c:v>9.3799452292607916E-3</c:v>
                </c:pt>
                <c:pt idx="262">
                  <c:v>9.6511979137362831E-3</c:v>
                </c:pt>
                <c:pt idx="263">
                  <c:v>9.9201859749057288E-3</c:v>
                </c:pt>
                <c:pt idx="264">
                  <c:v>1.01868462955646E-2</c:v>
                </c:pt>
                <c:pt idx="265">
                  <c:v>1.0451116304705434E-2</c:v>
                </c:pt>
                <c:pt idx="266">
                  <c:v>1.0712933992199809E-2</c:v>
                </c:pt>
                <c:pt idx="267">
                  <c:v>1.0972237923348937E-2</c:v>
                </c:pt>
                <c:pt idx="268">
                  <c:v>1.1228967253299008E-2</c:v>
                </c:pt>
                <c:pt idx="269">
                  <c:v>1.1483061741318358E-2</c:v>
                </c:pt>
                <c:pt idx="270">
                  <c:v>1.1734461764932707E-2</c:v>
                </c:pt>
                <c:pt idx="271">
                  <c:v>1.1983108333915349E-2</c:v>
                </c:pt>
                <c:pt idx="272">
                  <c:v>1.222894310412913E-2</c:v>
                </c:pt>
                <c:pt idx="273">
                  <c:v>1.2471908391216589E-2</c:v>
                </c:pt>
                <c:pt idx="274">
                  <c:v>1.271194718413554E-2</c:v>
                </c:pt>
                <c:pt idx="275">
                  <c:v>1.2949003158536409E-2</c:v>
                </c:pt>
                <c:pt idx="276">
                  <c:v>1.3183020689978677E-2</c:v>
                </c:pt>
                <c:pt idx="277">
                  <c:v>1.3413944866982922E-2</c:v>
                </c:pt>
                <c:pt idx="278">
                  <c:v>1.3641721503915599E-2</c:v>
                </c:pt>
                <c:pt idx="279">
                  <c:v>1.3866297153703617E-2</c:v>
                </c:pt>
                <c:pt idx="280">
                  <c:v>1.4087619120375419E-2</c:v>
                </c:pt>
                <c:pt idx="281">
                  <c:v>1.4305635471426038E-2</c:v>
                </c:pt>
                <c:pt idx="282">
                  <c:v>1.4520295050002782E-2</c:v>
                </c:pt>
                <c:pt idx="283">
                  <c:v>1.4731547486909134E-2</c:v>
                </c:pt>
                <c:pt idx="284">
                  <c:v>1.4939343212423668E-2</c:v>
                </c:pt>
                <c:pt idx="285">
                  <c:v>1.5143633467931409E-2</c:v>
                </c:pt>
                <c:pt idx="286">
                  <c:v>1.5344370317364969E-2</c:v>
                </c:pt>
                <c:pt idx="287">
                  <c:v>1.5541506658452492E-2</c:v>
                </c:pt>
                <c:pt idx="288">
                  <c:v>1.5734996233770161E-2</c:v>
                </c:pt>
                <c:pt idx="289">
                  <c:v>1.5924793641596248E-2</c:v>
                </c:pt>
                <c:pt idx="290">
                  <c:v>1.6110854346564587E-2</c:v>
                </c:pt>
                <c:pt idx="291">
                  <c:v>1.6293134690114602E-2</c:v>
                </c:pt>
                <c:pt idx="292">
                  <c:v>1.6471591900735636E-2</c:v>
                </c:pt>
                <c:pt idx="293">
                  <c:v>1.6646184104003214E-2</c:v>
                </c:pt>
                <c:pt idx="294">
                  <c:v>1.6816870332404674E-2</c:v>
                </c:pt>
                <c:pt idx="295">
                  <c:v>1.6983610534952131E-2</c:v>
                </c:pt>
                <c:pt idx="296">
                  <c:v>1.7146365586580257E-2</c:v>
                </c:pt>
                <c:pt idx="297">
                  <c:v>1.7305097297326894E-2</c:v>
                </c:pt>
                <c:pt idx="298">
                  <c:v>1.7459768421294219E-2</c:v>
                </c:pt>
                <c:pt idx="299">
                  <c:v>1.7610342665388308E-2</c:v>
                </c:pt>
                <c:pt idx="300">
                  <c:v>1.7756784697835291E-2</c:v>
                </c:pt>
                <c:pt idx="301">
                  <c:v>1.7899060156471757E-2</c:v>
                </c:pt>
                <c:pt idx="302">
                  <c:v>1.8037135656807795E-2</c:v>
                </c:pt>
                <c:pt idx="303">
                  <c:v>1.8170978799860498E-2</c:v>
                </c:pt>
                <c:pt idx="304">
                  <c:v>1.830055817975635E-2</c:v>
                </c:pt>
                <c:pt idx="305">
                  <c:v>1.8425843391100465E-2</c:v>
                </c:pt>
                <c:pt idx="306">
                  <c:v>1.8546805036111121E-2</c:v>
                </c:pt>
                <c:pt idx="307">
                  <c:v>1.8663414731517895E-2</c:v>
                </c:pt>
                <c:pt idx="308">
                  <c:v>1.8775645115221656E-2</c:v>
                </c:pt>
                <c:pt idx="309">
                  <c:v>1.8883469852715041E-2</c:v>
                </c:pt>
                <c:pt idx="310">
                  <c:v>1.8986863643261728E-2</c:v>
                </c:pt>
              </c:numCache>
            </c:numRef>
          </c:yVal>
          <c:smooth val="0"/>
          <c:extLst>
            <c:ext xmlns:c16="http://schemas.microsoft.com/office/drawing/2014/chart" uri="{C3380CC4-5D6E-409C-BE32-E72D297353CC}">
              <c16:uniqueId val="{00000001-B208-4381-BB05-4722EA16ED20}"/>
            </c:ext>
          </c:extLst>
        </c:ser>
        <c:dLbls>
          <c:showLegendKey val="0"/>
          <c:showVal val="0"/>
          <c:showCatName val="0"/>
          <c:showSerName val="0"/>
          <c:showPercent val="0"/>
          <c:showBubbleSize val="0"/>
        </c:dLbls>
        <c:axId val="449613952"/>
        <c:axId val="449614432"/>
      </c:scatterChart>
      <c:valAx>
        <c:axId val="44961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4432"/>
        <c:crosses val="autoZero"/>
        <c:crossBetween val="midCat"/>
      </c:valAx>
      <c:valAx>
        <c:axId val="44961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13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Sheet2!$F$1</c:f>
              <c:strCache>
                <c:ptCount val="1"/>
                <c:pt idx="0">
                  <c:v>I</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Sheet2!$A$2:$A$312</c:f>
              <c:numCache>
                <c:formatCode>General</c:formatCode>
                <c:ptCount val="311"/>
                <c:pt idx="0">
                  <c:v>20</c:v>
                </c:pt>
                <c:pt idx="1">
                  <c:v>30</c:v>
                </c:pt>
                <c:pt idx="2">
                  <c:v>40</c:v>
                </c:pt>
                <c:pt idx="3">
                  <c:v>50</c:v>
                </c:pt>
                <c:pt idx="4">
                  <c:v>60</c:v>
                </c:pt>
                <c:pt idx="5">
                  <c:v>70</c:v>
                </c:pt>
                <c:pt idx="6">
                  <c:v>80</c:v>
                </c:pt>
                <c:pt idx="7">
                  <c:v>90</c:v>
                </c:pt>
                <c:pt idx="8">
                  <c:v>100</c:v>
                </c:pt>
                <c:pt idx="9">
                  <c:v>110</c:v>
                </c:pt>
                <c:pt idx="10">
                  <c:v>120</c:v>
                </c:pt>
                <c:pt idx="11">
                  <c:v>130</c:v>
                </c:pt>
                <c:pt idx="12">
                  <c:v>140</c:v>
                </c:pt>
                <c:pt idx="13">
                  <c:v>150</c:v>
                </c:pt>
                <c:pt idx="14">
                  <c:v>160</c:v>
                </c:pt>
                <c:pt idx="15">
                  <c:v>170</c:v>
                </c:pt>
                <c:pt idx="16">
                  <c:v>180</c:v>
                </c:pt>
                <c:pt idx="17">
                  <c:v>190</c:v>
                </c:pt>
                <c:pt idx="18">
                  <c:v>200</c:v>
                </c:pt>
                <c:pt idx="19">
                  <c:v>210</c:v>
                </c:pt>
                <c:pt idx="20">
                  <c:v>220</c:v>
                </c:pt>
                <c:pt idx="21">
                  <c:v>230</c:v>
                </c:pt>
                <c:pt idx="22">
                  <c:v>240</c:v>
                </c:pt>
                <c:pt idx="23">
                  <c:v>250</c:v>
                </c:pt>
                <c:pt idx="24">
                  <c:v>260</c:v>
                </c:pt>
                <c:pt idx="25">
                  <c:v>270</c:v>
                </c:pt>
                <c:pt idx="26">
                  <c:v>280</c:v>
                </c:pt>
                <c:pt idx="27">
                  <c:v>290</c:v>
                </c:pt>
                <c:pt idx="28">
                  <c:v>300</c:v>
                </c:pt>
                <c:pt idx="29">
                  <c:v>310</c:v>
                </c:pt>
                <c:pt idx="30">
                  <c:v>320</c:v>
                </c:pt>
                <c:pt idx="31">
                  <c:v>330</c:v>
                </c:pt>
                <c:pt idx="32">
                  <c:v>340</c:v>
                </c:pt>
                <c:pt idx="33">
                  <c:v>350</c:v>
                </c:pt>
                <c:pt idx="34">
                  <c:v>360</c:v>
                </c:pt>
                <c:pt idx="35">
                  <c:v>370</c:v>
                </c:pt>
                <c:pt idx="36">
                  <c:v>380</c:v>
                </c:pt>
                <c:pt idx="37">
                  <c:v>390</c:v>
                </c:pt>
                <c:pt idx="38">
                  <c:v>400</c:v>
                </c:pt>
                <c:pt idx="39">
                  <c:v>410</c:v>
                </c:pt>
                <c:pt idx="40">
                  <c:v>420</c:v>
                </c:pt>
                <c:pt idx="41">
                  <c:v>430</c:v>
                </c:pt>
                <c:pt idx="42">
                  <c:v>440</c:v>
                </c:pt>
                <c:pt idx="43">
                  <c:v>450</c:v>
                </c:pt>
                <c:pt idx="44">
                  <c:v>460</c:v>
                </c:pt>
                <c:pt idx="45">
                  <c:v>470</c:v>
                </c:pt>
                <c:pt idx="46">
                  <c:v>480</c:v>
                </c:pt>
                <c:pt idx="47">
                  <c:v>490</c:v>
                </c:pt>
                <c:pt idx="48">
                  <c:v>500</c:v>
                </c:pt>
                <c:pt idx="49">
                  <c:v>510</c:v>
                </c:pt>
                <c:pt idx="50">
                  <c:v>520</c:v>
                </c:pt>
                <c:pt idx="51">
                  <c:v>530</c:v>
                </c:pt>
                <c:pt idx="52">
                  <c:v>540</c:v>
                </c:pt>
                <c:pt idx="53">
                  <c:v>550</c:v>
                </c:pt>
                <c:pt idx="54">
                  <c:v>560</c:v>
                </c:pt>
                <c:pt idx="55">
                  <c:v>570</c:v>
                </c:pt>
                <c:pt idx="56">
                  <c:v>580</c:v>
                </c:pt>
                <c:pt idx="57">
                  <c:v>590</c:v>
                </c:pt>
                <c:pt idx="58">
                  <c:v>600</c:v>
                </c:pt>
                <c:pt idx="59">
                  <c:v>610</c:v>
                </c:pt>
                <c:pt idx="60">
                  <c:v>620</c:v>
                </c:pt>
                <c:pt idx="61">
                  <c:v>630</c:v>
                </c:pt>
                <c:pt idx="62">
                  <c:v>640</c:v>
                </c:pt>
                <c:pt idx="63">
                  <c:v>650</c:v>
                </c:pt>
                <c:pt idx="64">
                  <c:v>660</c:v>
                </c:pt>
                <c:pt idx="65">
                  <c:v>670</c:v>
                </c:pt>
                <c:pt idx="66">
                  <c:v>680</c:v>
                </c:pt>
                <c:pt idx="67">
                  <c:v>690</c:v>
                </c:pt>
                <c:pt idx="68">
                  <c:v>700</c:v>
                </c:pt>
                <c:pt idx="69">
                  <c:v>710</c:v>
                </c:pt>
                <c:pt idx="70">
                  <c:v>720</c:v>
                </c:pt>
                <c:pt idx="71">
                  <c:v>730</c:v>
                </c:pt>
                <c:pt idx="72">
                  <c:v>740</c:v>
                </c:pt>
                <c:pt idx="73">
                  <c:v>750</c:v>
                </c:pt>
                <c:pt idx="74">
                  <c:v>760</c:v>
                </c:pt>
                <c:pt idx="75">
                  <c:v>770</c:v>
                </c:pt>
                <c:pt idx="76">
                  <c:v>780</c:v>
                </c:pt>
                <c:pt idx="77">
                  <c:v>790</c:v>
                </c:pt>
                <c:pt idx="78">
                  <c:v>800</c:v>
                </c:pt>
                <c:pt idx="79">
                  <c:v>810</c:v>
                </c:pt>
                <c:pt idx="80">
                  <c:v>820</c:v>
                </c:pt>
                <c:pt idx="81">
                  <c:v>830</c:v>
                </c:pt>
                <c:pt idx="82">
                  <c:v>840</c:v>
                </c:pt>
                <c:pt idx="83">
                  <c:v>850</c:v>
                </c:pt>
                <c:pt idx="84">
                  <c:v>860</c:v>
                </c:pt>
                <c:pt idx="85">
                  <c:v>870</c:v>
                </c:pt>
                <c:pt idx="86">
                  <c:v>880</c:v>
                </c:pt>
                <c:pt idx="87">
                  <c:v>890</c:v>
                </c:pt>
                <c:pt idx="88">
                  <c:v>900</c:v>
                </c:pt>
                <c:pt idx="89">
                  <c:v>910</c:v>
                </c:pt>
                <c:pt idx="90">
                  <c:v>920</c:v>
                </c:pt>
                <c:pt idx="91">
                  <c:v>930</c:v>
                </c:pt>
                <c:pt idx="92">
                  <c:v>940</c:v>
                </c:pt>
                <c:pt idx="93">
                  <c:v>950</c:v>
                </c:pt>
                <c:pt idx="94">
                  <c:v>960</c:v>
                </c:pt>
                <c:pt idx="95">
                  <c:v>970</c:v>
                </c:pt>
                <c:pt idx="96">
                  <c:v>980</c:v>
                </c:pt>
                <c:pt idx="97">
                  <c:v>990</c:v>
                </c:pt>
                <c:pt idx="98">
                  <c:v>1000</c:v>
                </c:pt>
                <c:pt idx="99">
                  <c:v>1010</c:v>
                </c:pt>
                <c:pt idx="100">
                  <c:v>1020</c:v>
                </c:pt>
                <c:pt idx="101">
                  <c:v>1030</c:v>
                </c:pt>
                <c:pt idx="102">
                  <c:v>1040</c:v>
                </c:pt>
                <c:pt idx="103">
                  <c:v>1050</c:v>
                </c:pt>
                <c:pt idx="104">
                  <c:v>1060</c:v>
                </c:pt>
                <c:pt idx="105">
                  <c:v>1070</c:v>
                </c:pt>
                <c:pt idx="106">
                  <c:v>1080</c:v>
                </c:pt>
                <c:pt idx="107">
                  <c:v>1090</c:v>
                </c:pt>
                <c:pt idx="108">
                  <c:v>1100</c:v>
                </c:pt>
                <c:pt idx="109">
                  <c:v>1110</c:v>
                </c:pt>
                <c:pt idx="110">
                  <c:v>1120</c:v>
                </c:pt>
                <c:pt idx="111">
                  <c:v>1130</c:v>
                </c:pt>
                <c:pt idx="112">
                  <c:v>1140</c:v>
                </c:pt>
                <c:pt idx="113">
                  <c:v>1150</c:v>
                </c:pt>
                <c:pt idx="114">
                  <c:v>1160</c:v>
                </c:pt>
                <c:pt idx="115">
                  <c:v>1170</c:v>
                </c:pt>
                <c:pt idx="116">
                  <c:v>1180</c:v>
                </c:pt>
                <c:pt idx="117">
                  <c:v>1190</c:v>
                </c:pt>
                <c:pt idx="118">
                  <c:v>1200</c:v>
                </c:pt>
                <c:pt idx="119">
                  <c:v>1210</c:v>
                </c:pt>
                <c:pt idx="120">
                  <c:v>1220</c:v>
                </c:pt>
                <c:pt idx="121">
                  <c:v>1230</c:v>
                </c:pt>
                <c:pt idx="122">
                  <c:v>1240</c:v>
                </c:pt>
                <c:pt idx="123">
                  <c:v>1250</c:v>
                </c:pt>
                <c:pt idx="124">
                  <c:v>1260</c:v>
                </c:pt>
                <c:pt idx="125">
                  <c:v>1270</c:v>
                </c:pt>
                <c:pt idx="126">
                  <c:v>1280</c:v>
                </c:pt>
                <c:pt idx="127">
                  <c:v>1290</c:v>
                </c:pt>
                <c:pt idx="128">
                  <c:v>1300</c:v>
                </c:pt>
                <c:pt idx="129">
                  <c:v>1310</c:v>
                </c:pt>
                <c:pt idx="130">
                  <c:v>1320</c:v>
                </c:pt>
                <c:pt idx="131">
                  <c:v>1330</c:v>
                </c:pt>
                <c:pt idx="132">
                  <c:v>1340</c:v>
                </c:pt>
                <c:pt idx="133">
                  <c:v>1350</c:v>
                </c:pt>
                <c:pt idx="134">
                  <c:v>1360</c:v>
                </c:pt>
                <c:pt idx="135">
                  <c:v>1370</c:v>
                </c:pt>
                <c:pt idx="136">
                  <c:v>1380</c:v>
                </c:pt>
                <c:pt idx="137">
                  <c:v>1390</c:v>
                </c:pt>
                <c:pt idx="138">
                  <c:v>1400</c:v>
                </c:pt>
                <c:pt idx="139">
                  <c:v>1410</c:v>
                </c:pt>
                <c:pt idx="140">
                  <c:v>1420</c:v>
                </c:pt>
                <c:pt idx="141">
                  <c:v>1430</c:v>
                </c:pt>
                <c:pt idx="142">
                  <c:v>1440</c:v>
                </c:pt>
                <c:pt idx="143">
                  <c:v>1450</c:v>
                </c:pt>
                <c:pt idx="144">
                  <c:v>1460</c:v>
                </c:pt>
                <c:pt idx="145">
                  <c:v>1470</c:v>
                </c:pt>
                <c:pt idx="146">
                  <c:v>1480</c:v>
                </c:pt>
                <c:pt idx="147">
                  <c:v>1490</c:v>
                </c:pt>
                <c:pt idx="148">
                  <c:v>1500</c:v>
                </c:pt>
                <c:pt idx="149">
                  <c:v>1510</c:v>
                </c:pt>
                <c:pt idx="150">
                  <c:v>1520</c:v>
                </c:pt>
                <c:pt idx="151">
                  <c:v>1530</c:v>
                </c:pt>
                <c:pt idx="152">
                  <c:v>1540</c:v>
                </c:pt>
                <c:pt idx="153">
                  <c:v>1550</c:v>
                </c:pt>
                <c:pt idx="154">
                  <c:v>1560</c:v>
                </c:pt>
                <c:pt idx="155">
                  <c:v>1570</c:v>
                </c:pt>
                <c:pt idx="156">
                  <c:v>1580</c:v>
                </c:pt>
                <c:pt idx="157">
                  <c:v>1590</c:v>
                </c:pt>
                <c:pt idx="158">
                  <c:v>1600</c:v>
                </c:pt>
                <c:pt idx="159">
                  <c:v>1610</c:v>
                </c:pt>
                <c:pt idx="160">
                  <c:v>1620</c:v>
                </c:pt>
                <c:pt idx="161">
                  <c:v>1630</c:v>
                </c:pt>
                <c:pt idx="162">
                  <c:v>1640</c:v>
                </c:pt>
                <c:pt idx="163">
                  <c:v>1650</c:v>
                </c:pt>
                <c:pt idx="164">
                  <c:v>1660</c:v>
                </c:pt>
                <c:pt idx="165">
                  <c:v>1670</c:v>
                </c:pt>
                <c:pt idx="166">
                  <c:v>1680</c:v>
                </c:pt>
                <c:pt idx="167">
                  <c:v>1690</c:v>
                </c:pt>
                <c:pt idx="168">
                  <c:v>1700</c:v>
                </c:pt>
                <c:pt idx="169">
                  <c:v>1710</c:v>
                </c:pt>
                <c:pt idx="170">
                  <c:v>1720</c:v>
                </c:pt>
                <c:pt idx="171">
                  <c:v>1730</c:v>
                </c:pt>
                <c:pt idx="172">
                  <c:v>1740</c:v>
                </c:pt>
                <c:pt idx="173">
                  <c:v>1750</c:v>
                </c:pt>
                <c:pt idx="174">
                  <c:v>1760</c:v>
                </c:pt>
                <c:pt idx="175">
                  <c:v>1770</c:v>
                </c:pt>
                <c:pt idx="176">
                  <c:v>1780</c:v>
                </c:pt>
                <c:pt idx="177">
                  <c:v>1790</c:v>
                </c:pt>
                <c:pt idx="178">
                  <c:v>1800</c:v>
                </c:pt>
                <c:pt idx="179">
                  <c:v>1810</c:v>
                </c:pt>
                <c:pt idx="180">
                  <c:v>1820</c:v>
                </c:pt>
                <c:pt idx="181">
                  <c:v>1830</c:v>
                </c:pt>
                <c:pt idx="182">
                  <c:v>1840</c:v>
                </c:pt>
                <c:pt idx="183">
                  <c:v>1850</c:v>
                </c:pt>
                <c:pt idx="184">
                  <c:v>1860</c:v>
                </c:pt>
                <c:pt idx="185">
                  <c:v>1870</c:v>
                </c:pt>
                <c:pt idx="186">
                  <c:v>1880</c:v>
                </c:pt>
                <c:pt idx="187">
                  <c:v>1890</c:v>
                </c:pt>
                <c:pt idx="188">
                  <c:v>1900</c:v>
                </c:pt>
                <c:pt idx="189">
                  <c:v>1910</c:v>
                </c:pt>
                <c:pt idx="190">
                  <c:v>1920</c:v>
                </c:pt>
                <c:pt idx="191">
                  <c:v>1930</c:v>
                </c:pt>
                <c:pt idx="192">
                  <c:v>1940</c:v>
                </c:pt>
                <c:pt idx="193">
                  <c:v>1950</c:v>
                </c:pt>
                <c:pt idx="194">
                  <c:v>1960</c:v>
                </c:pt>
                <c:pt idx="195">
                  <c:v>1970</c:v>
                </c:pt>
                <c:pt idx="196">
                  <c:v>1980</c:v>
                </c:pt>
                <c:pt idx="197">
                  <c:v>1990</c:v>
                </c:pt>
                <c:pt idx="198">
                  <c:v>2000</c:v>
                </c:pt>
                <c:pt idx="199">
                  <c:v>2010</c:v>
                </c:pt>
                <c:pt idx="200">
                  <c:v>2020</c:v>
                </c:pt>
                <c:pt idx="201">
                  <c:v>2030</c:v>
                </c:pt>
                <c:pt idx="202">
                  <c:v>2040</c:v>
                </c:pt>
                <c:pt idx="203">
                  <c:v>2050</c:v>
                </c:pt>
                <c:pt idx="204">
                  <c:v>2060</c:v>
                </c:pt>
                <c:pt idx="205">
                  <c:v>2070</c:v>
                </c:pt>
                <c:pt idx="206">
                  <c:v>2080</c:v>
                </c:pt>
                <c:pt idx="207">
                  <c:v>2090</c:v>
                </c:pt>
                <c:pt idx="208">
                  <c:v>2100</c:v>
                </c:pt>
                <c:pt idx="209">
                  <c:v>2110</c:v>
                </c:pt>
                <c:pt idx="210">
                  <c:v>2120</c:v>
                </c:pt>
                <c:pt idx="211">
                  <c:v>2130</c:v>
                </c:pt>
                <c:pt idx="212">
                  <c:v>2140</c:v>
                </c:pt>
                <c:pt idx="213">
                  <c:v>2150</c:v>
                </c:pt>
                <c:pt idx="214">
                  <c:v>2160</c:v>
                </c:pt>
                <c:pt idx="215">
                  <c:v>2170</c:v>
                </c:pt>
                <c:pt idx="216">
                  <c:v>2180</c:v>
                </c:pt>
                <c:pt idx="217">
                  <c:v>2190</c:v>
                </c:pt>
                <c:pt idx="218">
                  <c:v>2200</c:v>
                </c:pt>
                <c:pt idx="219">
                  <c:v>2210</c:v>
                </c:pt>
                <c:pt idx="220">
                  <c:v>2220</c:v>
                </c:pt>
                <c:pt idx="221">
                  <c:v>2230</c:v>
                </c:pt>
                <c:pt idx="222">
                  <c:v>2240</c:v>
                </c:pt>
                <c:pt idx="223">
                  <c:v>2250</c:v>
                </c:pt>
                <c:pt idx="224">
                  <c:v>2260</c:v>
                </c:pt>
                <c:pt idx="225">
                  <c:v>2270</c:v>
                </c:pt>
                <c:pt idx="226">
                  <c:v>2280</c:v>
                </c:pt>
                <c:pt idx="227">
                  <c:v>2290</c:v>
                </c:pt>
                <c:pt idx="228">
                  <c:v>2300</c:v>
                </c:pt>
                <c:pt idx="229">
                  <c:v>2310</c:v>
                </c:pt>
                <c:pt idx="230">
                  <c:v>2320</c:v>
                </c:pt>
                <c:pt idx="231">
                  <c:v>2330</c:v>
                </c:pt>
                <c:pt idx="232">
                  <c:v>2340</c:v>
                </c:pt>
                <c:pt idx="233">
                  <c:v>2350</c:v>
                </c:pt>
                <c:pt idx="234">
                  <c:v>2360</c:v>
                </c:pt>
                <c:pt idx="235">
                  <c:v>2370</c:v>
                </c:pt>
                <c:pt idx="236">
                  <c:v>2380</c:v>
                </c:pt>
                <c:pt idx="237">
                  <c:v>2390</c:v>
                </c:pt>
                <c:pt idx="238">
                  <c:v>2400</c:v>
                </c:pt>
                <c:pt idx="239">
                  <c:v>2410</c:v>
                </c:pt>
                <c:pt idx="240">
                  <c:v>2420</c:v>
                </c:pt>
                <c:pt idx="241">
                  <c:v>2430</c:v>
                </c:pt>
                <c:pt idx="242">
                  <c:v>2440</c:v>
                </c:pt>
                <c:pt idx="243">
                  <c:v>2450</c:v>
                </c:pt>
                <c:pt idx="244">
                  <c:v>2460</c:v>
                </c:pt>
                <c:pt idx="245">
                  <c:v>2470</c:v>
                </c:pt>
                <c:pt idx="246">
                  <c:v>2480</c:v>
                </c:pt>
                <c:pt idx="247">
                  <c:v>2490</c:v>
                </c:pt>
                <c:pt idx="248">
                  <c:v>2500</c:v>
                </c:pt>
                <c:pt idx="249">
                  <c:v>2510</c:v>
                </c:pt>
                <c:pt idx="250">
                  <c:v>2520</c:v>
                </c:pt>
                <c:pt idx="251">
                  <c:v>2530</c:v>
                </c:pt>
                <c:pt idx="252">
                  <c:v>2540</c:v>
                </c:pt>
                <c:pt idx="253">
                  <c:v>2550</c:v>
                </c:pt>
                <c:pt idx="254">
                  <c:v>2560</c:v>
                </c:pt>
                <c:pt idx="255">
                  <c:v>2570</c:v>
                </c:pt>
                <c:pt idx="256">
                  <c:v>2580</c:v>
                </c:pt>
                <c:pt idx="257">
                  <c:v>2590</c:v>
                </c:pt>
                <c:pt idx="258">
                  <c:v>2600</c:v>
                </c:pt>
                <c:pt idx="259">
                  <c:v>2610</c:v>
                </c:pt>
                <c:pt idx="260">
                  <c:v>2620</c:v>
                </c:pt>
                <c:pt idx="261">
                  <c:v>2630</c:v>
                </c:pt>
                <c:pt idx="262">
                  <c:v>2640</c:v>
                </c:pt>
                <c:pt idx="263">
                  <c:v>2650</c:v>
                </c:pt>
                <c:pt idx="264">
                  <c:v>2660</c:v>
                </c:pt>
                <c:pt idx="265">
                  <c:v>2670</c:v>
                </c:pt>
                <c:pt idx="266">
                  <c:v>2680</c:v>
                </c:pt>
                <c:pt idx="267">
                  <c:v>2690</c:v>
                </c:pt>
                <c:pt idx="268">
                  <c:v>2700</c:v>
                </c:pt>
                <c:pt idx="269">
                  <c:v>2710</c:v>
                </c:pt>
                <c:pt idx="270">
                  <c:v>2720</c:v>
                </c:pt>
                <c:pt idx="271">
                  <c:v>2730</c:v>
                </c:pt>
                <c:pt idx="272">
                  <c:v>2740</c:v>
                </c:pt>
                <c:pt idx="273">
                  <c:v>2750</c:v>
                </c:pt>
                <c:pt idx="274">
                  <c:v>2760</c:v>
                </c:pt>
                <c:pt idx="275">
                  <c:v>2770</c:v>
                </c:pt>
                <c:pt idx="276">
                  <c:v>2780</c:v>
                </c:pt>
                <c:pt idx="277">
                  <c:v>2790</c:v>
                </c:pt>
                <c:pt idx="278">
                  <c:v>2800</c:v>
                </c:pt>
                <c:pt idx="279">
                  <c:v>2810</c:v>
                </c:pt>
                <c:pt idx="280">
                  <c:v>2820</c:v>
                </c:pt>
                <c:pt idx="281">
                  <c:v>2830</c:v>
                </c:pt>
                <c:pt idx="282">
                  <c:v>2840</c:v>
                </c:pt>
                <c:pt idx="283">
                  <c:v>2850</c:v>
                </c:pt>
                <c:pt idx="284">
                  <c:v>2860</c:v>
                </c:pt>
                <c:pt idx="285">
                  <c:v>2870</c:v>
                </c:pt>
                <c:pt idx="286">
                  <c:v>2880</c:v>
                </c:pt>
                <c:pt idx="287">
                  <c:v>2890</c:v>
                </c:pt>
                <c:pt idx="288">
                  <c:v>2900</c:v>
                </c:pt>
                <c:pt idx="289">
                  <c:v>2910</c:v>
                </c:pt>
                <c:pt idx="290">
                  <c:v>2920</c:v>
                </c:pt>
                <c:pt idx="291">
                  <c:v>2930</c:v>
                </c:pt>
                <c:pt idx="292">
                  <c:v>2940</c:v>
                </c:pt>
                <c:pt idx="293">
                  <c:v>2950</c:v>
                </c:pt>
                <c:pt idx="294">
                  <c:v>2960</c:v>
                </c:pt>
                <c:pt idx="295">
                  <c:v>2970</c:v>
                </c:pt>
                <c:pt idx="296">
                  <c:v>2980</c:v>
                </c:pt>
                <c:pt idx="297">
                  <c:v>2990</c:v>
                </c:pt>
                <c:pt idx="298">
                  <c:v>3000</c:v>
                </c:pt>
                <c:pt idx="299">
                  <c:v>3010</c:v>
                </c:pt>
                <c:pt idx="300">
                  <c:v>3020</c:v>
                </c:pt>
                <c:pt idx="301">
                  <c:v>3030</c:v>
                </c:pt>
                <c:pt idx="302">
                  <c:v>3040</c:v>
                </c:pt>
                <c:pt idx="303">
                  <c:v>3050</c:v>
                </c:pt>
                <c:pt idx="304">
                  <c:v>3060</c:v>
                </c:pt>
                <c:pt idx="305">
                  <c:v>3070</c:v>
                </c:pt>
                <c:pt idx="306">
                  <c:v>3080</c:v>
                </c:pt>
                <c:pt idx="307">
                  <c:v>3090</c:v>
                </c:pt>
                <c:pt idx="308">
                  <c:v>3100</c:v>
                </c:pt>
                <c:pt idx="309">
                  <c:v>3110</c:v>
                </c:pt>
                <c:pt idx="310">
                  <c:v>3120</c:v>
                </c:pt>
              </c:numCache>
            </c:numRef>
          </c:xVal>
          <c:yVal>
            <c:numRef>
              <c:f>Sheet2!$F$2:$F$312</c:f>
              <c:numCache>
                <c:formatCode>General</c:formatCode>
                <c:ptCount val="311"/>
                <c:pt idx="0">
                  <c:v>716.29142308022972</c:v>
                </c:pt>
                <c:pt idx="1">
                  <c:v>407.52013002707548</c:v>
                </c:pt>
                <c:pt idx="2">
                  <c:v>230.96301384072964</c:v>
                </c:pt>
                <c:pt idx="3">
                  <c:v>130.41619123582268</c:v>
                </c:pt>
                <c:pt idx="4">
                  <c:v>73.38006723119976</c:v>
                </c:pt>
                <c:pt idx="5">
                  <c:v>41.147570221846202</c:v>
                </c:pt>
                <c:pt idx="6">
                  <c:v>22.998097974397506</c:v>
                </c:pt>
                <c:pt idx="7">
                  <c:v>12.813966182269482</c:v>
                </c:pt>
                <c:pt idx="8">
                  <c:v>7.1183871775166505</c:v>
                </c:pt>
                <c:pt idx="9">
                  <c:v>3.9431983824867536</c:v>
                </c:pt>
                <c:pt idx="10">
                  <c:v>2.1784490843640225</c:v>
                </c:pt>
                <c:pt idx="11">
                  <c:v>1.2004412974421175</c:v>
                </c:pt>
                <c:pt idx="12">
                  <c:v>0.65992158305612325</c:v>
                </c:pt>
                <c:pt idx="13">
                  <c:v>0.36196369941931855</c:v>
                </c:pt>
                <c:pt idx="14">
                  <c:v>0.19811739642251194</c:v>
                </c:pt>
                <c:pt idx="15">
                  <c:v>0.10822533857204696</c:v>
                </c:pt>
                <c:pt idx="16">
                  <c:v>5.9013038994848332E-2</c:v>
                </c:pt>
                <c:pt idx="17">
                  <c:v>3.2125022326622621E-2</c:v>
                </c:pt>
                <c:pt idx="18">
                  <c:v>1.7461368141792173E-2</c:v>
                </c:pt>
                <c:pt idx="19">
                  <c:v>9.4779303788404892E-3</c:v>
                </c:pt>
                <c:pt idx="20">
                  <c:v>5.1381487194249393E-3</c:v>
                </c:pt>
                <c:pt idx="21">
                  <c:v>2.7823383004331489E-3</c:v>
                </c:pt>
                <c:pt idx="22">
                  <c:v>1.5051177608158854E-3</c:v>
                </c:pt>
                <c:pt idx="23">
                  <c:v>8.1346637073643959E-4</c:v>
                </c:pt>
                <c:pt idx="24">
                  <c:v>4.3934891501561134E-4</c:v>
                </c:pt>
                <c:pt idx="25">
                  <c:v>2.3726077791354043E-4</c:v>
                </c:pt>
                <c:pt idx="26">
                  <c:v>1.2831865599582305E-4</c:v>
                </c:pt>
                <c:pt idx="27">
                  <c:v>6.9807371988239193E-5</c:v>
                </c:pt>
                <c:pt idx="28">
                  <c:v>3.8620417723785276E-5</c:v>
                </c:pt>
                <c:pt idx="29">
                  <c:v>2.226931502524694E-5</c:v>
                </c:pt>
                <c:pt idx="30">
                  <c:v>1.4009090880347338E-5</c:v>
                </c:pt>
                <c:pt idx="31">
                  <c:v>1.0198684434441022E-5</c:v>
                </c:pt>
                <c:pt idx="32">
                  <c:v>8.8731387251003459E-6</c:v>
                </c:pt>
                <c:pt idx="33">
                  <c:v>8.9719941973867441E-6</c:v>
                </c:pt>
                <c:pt idx="34">
                  <c:v>9.9226312078301523E-6</c:v>
                </c:pt>
                <c:pt idx="35">
                  <c:v>1.1415424852043599E-5</c:v>
                </c:pt>
                <c:pt idx="36">
                  <c:v>1.3282469806462353E-5</c:v>
                </c:pt>
                <c:pt idx="37">
                  <c:v>1.543219116937489E-5</c:v>
                </c:pt>
                <c:pt idx="38">
                  <c:v>1.7814095599944925E-5</c:v>
                </c:pt>
                <c:pt idx="39">
                  <c:v>2.0399771633106053E-5</c:v>
                </c:pt>
                <c:pt idx="40">
                  <c:v>2.3172648256921756E-5</c:v>
                </c:pt>
                <c:pt idx="41">
                  <c:v>2.6122473805062657E-5</c:v>
                </c:pt>
                <c:pt idx="42">
                  <c:v>2.9242339068795233E-5</c:v>
                </c:pt>
                <c:pt idx="43">
                  <c:v>3.2527072030315146E-5</c:v>
                </c:pt>
                <c:pt idx="44">
                  <c:v>3.5972372334915944E-5</c:v>
                </c:pt>
                <c:pt idx="45">
                  <c:v>3.9574344936312265E-5</c:v>
                </c:pt>
                <c:pt idx="46">
                  <c:v>4.3329249301817517E-5</c:v>
                </c:pt>
                <c:pt idx="47">
                  <c:v>4.7233365138113369E-5</c:v>
                </c:pt>
                <c:pt idx="48">
                  <c:v>5.1282921184533501E-5</c:v>
                </c:pt>
                <c:pt idx="49">
                  <c:v>5.5474058202732853E-5</c:v>
                </c:pt>
                <c:pt idx="50">
                  <c:v>5.9802810554698367E-5</c:v>
                </c:pt>
                <c:pt idx="51">
                  <c:v>6.4265097922098594E-5</c:v>
                </c:pt>
                <c:pt idx="52">
                  <c:v>6.8856722589581438E-5</c:v>
                </c:pt>
                <c:pt idx="53">
                  <c:v>7.3573369807644368E-5</c:v>
                </c:pt>
                <c:pt idx="54">
                  <c:v>7.8410609884011162E-5</c:v>
                </c:pt>
                <c:pt idx="55">
                  <c:v>8.3363901266819565E-5</c:v>
                </c:pt>
                <c:pt idx="56">
                  <c:v>8.8428594216421024E-5</c:v>
                </c:pt>
                <c:pt idx="57">
                  <c:v>9.3599934843861986E-5</c:v>
                </c:pt>
                <c:pt idx="58">
                  <c:v>9.8873069392786846E-5</c:v>
                </c:pt>
                <c:pt idx="59">
                  <c:v>1.0424304869528797E-4</c:v>
                </c:pt>
                <c:pt idx="60">
                  <c:v>1.0970483276157788E-4</c:v>
                </c:pt>
                <c:pt idx="61">
                  <c:v>1.1525329547940374E-4</c:v>
                </c:pt>
                <c:pt idx="62">
                  <c:v>1.2088322940788126E-4</c:v>
                </c:pt>
                <c:pt idx="63">
                  <c:v>1.2658935065522131E-4</c:v>
                </c:pt>
                <c:pt idx="64">
                  <c:v>1.3236630383242504E-4</c:v>
                </c:pt>
                <c:pt idx="65">
                  <c:v>1.3820866707644217E-4</c:v>
                </c:pt>
                <c:pt idx="66">
                  <c:v>1.4411095713704234E-4</c:v>
                </c:pt>
                <c:pt idx="67">
                  <c:v>1.5006763452204424E-4</c:v>
                </c:pt>
                <c:pt idx="68">
                  <c:v>1.5607310869575249E-4</c:v>
                </c:pt>
                <c:pt idx="69">
                  <c:v>1.6212174332553821E-4</c:v>
                </c:pt>
                <c:pt idx="70">
                  <c:v>1.6820786157153726E-4</c:v>
                </c:pt>
                <c:pt idx="71">
                  <c:v>1.743257514144433E-4</c:v>
                </c:pt>
                <c:pt idx="72">
                  <c:v>1.8046967101636215E-4</c:v>
                </c:pt>
                <c:pt idx="73">
                  <c:v>1.8663385410967818E-4</c:v>
                </c:pt>
                <c:pt idx="74">
                  <c:v>1.9281251540886145E-4</c:v>
                </c:pt>
                <c:pt idx="75">
                  <c:v>1.9899985604013439E-4</c:v>
                </c:pt>
                <c:pt idx="76">
                  <c:v>2.0519006898389551E-4</c:v>
                </c:pt>
                <c:pt idx="77">
                  <c:v>2.1137734452479111E-4</c:v>
                </c:pt>
                <c:pt idx="78">
                  <c:v>2.1755587570431893E-4</c:v>
                </c:pt>
                <c:pt idx="79">
                  <c:v>2.2371986377084518E-4</c:v>
                </c:pt>
                <c:pt idx="80">
                  <c:v>2.2986352362192031E-4</c:v>
                </c:pt>
                <c:pt idx="81">
                  <c:v>2.3598108923378409E-4</c:v>
                </c:pt>
                <c:pt idx="82">
                  <c:v>2.4206681907296484E-4</c:v>
                </c:pt>
                <c:pt idx="83">
                  <c:v>2.4811500148489584E-4</c:v>
                </c:pt>
                <c:pt idx="84">
                  <c:v>2.5411996005448727E-4</c:v>
                </c:pt>
                <c:pt idx="85">
                  <c:v>2.6007605893362424E-4</c:v>
                </c:pt>
                <c:pt idx="86">
                  <c:v>2.6597770813059553E-4</c:v>
                </c:pt>
                <c:pt idx="87">
                  <c:v>2.7181936875647861E-4</c:v>
                </c:pt>
                <c:pt idx="88">
                  <c:v>2.7759555822356969E-4</c:v>
                </c:pt>
                <c:pt idx="89">
                  <c:v>2.8330085539096634E-4</c:v>
                </c:pt>
                <c:pt idx="90">
                  <c:v>2.8892990565248681E-4</c:v>
                </c:pt>
                <c:pt idx="91">
                  <c:v>2.944774259621402E-4</c:v>
                </c:pt>
                <c:pt idx="92">
                  <c:v>2.999382097924347E-4</c:v>
                </c:pt>
                <c:pt idx="93">
                  <c:v>3.0530713202087551E-4</c:v>
                </c:pt>
                <c:pt idx="94">
                  <c:v>3.1057915374005488E-4</c:v>
                </c:pt>
                <c:pt idx="95">
                  <c:v>3.1574932698683305E-4</c:v>
                </c:pt>
                <c:pt idx="96">
                  <c:v>3.2081279938615912E-4</c:v>
                </c:pt>
                <c:pt idx="97">
                  <c:v>3.2576481870518419E-4</c:v>
                </c:pt>
                <c:pt idx="98">
                  <c:v>3.3060073731338533E-4</c:v>
                </c:pt>
                <c:pt idx="99">
                  <c:v>3.3531601654451614E-4</c:v>
                </c:pt>
                <c:pt idx="100">
                  <c:v>3.3990623095629435E-4</c:v>
                </c:pt>
                <c:pt idx="101">
                  <c:v>3.4436707248382004E-4</c:v>
                </c:pt>
                <c:pt idx="102">
                  <c:v>3.4869435448283667E-4</c:v>
                </c:pt>
                <c:pt idx="103">
                  <c:v>3.5288401565903037E-4</c:v>
                </c:pt>
                <c:pt idx="104">
                  <c:v>3.5693212387968685E-4</c:v>
                </c:pt>
                <c:pt idx="105">
                  <c:v>3.608348798641262E-4</c:v>
                </c:pt>
                <c:pt idx="106">
                  <c:v>3.6458862074944902E-4</c:v>
                </c:pt>
                <c:pt idx="107">
                  <c:v>3.6818982352825399E-4</c:v>
                </c:pt>
                <c:pt idx="108">
                  <c:v>3.7163510835509219E-4</c:v>
                </c:pt>
                <c:pt idx="109">
                  <c:v>3.749212417185638E-4</c:v>
                </c:pt>
                <c:pt idx="110">
                  <c:v>3.7804513947607129E-4</c:v>
                </c:pt>
                <c:pt idx="111">
                  <c:v>3.8100386974838875E-4</c:v>
                </c:pt>
                <c:pt idx="112">
                  <c:v>3.8379465567132427E-4</c:v>
                </c:pt>
                <c:pt idx="113">
                  <c:v>3.8641487800189739E-4</c:v>
                </c:pt>
                <c:pt idx="114">
                  <c:v>3.8886207757658423E-4</c:v>
                </c:pt>
                <c:pt idx="115">
                  <c:v>3.9113395761932043E-4</c:v>
                </c:pt>
                <c:pt idx="116">
                  <c:v>3.9322838589710162E-4</c:v>
                </c:pt>
                <c:pt idx="117">
                  <c:v>3.9514339672115173E-4</c:v>
                </c:pt>
                <c:pt idx="118">
                  <c:v>3.9687719279178667E-4</c:v>
                </c:pt>
                <c:pt idx="119">
                  <c:v>3.9842814688523806E-4</c:v>
                </c:pt>
                <c:pt idx="120">
                  <c:v>3.9979480338085427E-4</c:v>
                </c:pt>
                <c:pt idx="121">
                  <c:v>4.0097587962724992E-4</c:v>
                </c:pt>
                <c:pt idx="122">
                  <c:v>4.0197026714611277E-4</c:v>
                </c:pt>
                <c:pt idx="123">
                  <c:v>4.0277703267254929E-4</c:v>
                </c:pt>
                <c:pt idx="124">
                  <c:v>4.0339541903098219E-4</c:v>
                </c:pt>
                <c:pt idx="125">
                  <c:v>4.0382484584578513E-4</c:v>
                </c:pt>
                <c:pt idx="126">
                  <c:v>4.0406491008598339E-4</c:v>
                </c:pt>
                <c:pt idx="127">
                  <c:v>4.0411538644351215E-4</c:v>
                </c:pt>
                <c:pt idx="128">
                  <c:v>4.0397622754467511E-4</c:v>
                </c:pt>
                <c:pt idx="129">
                  <c:v>4.0364756399460599E-4</c:v>
                </c:pt>
                <c:pt idx="130">
                  <c:v>4.0312970425469157E-4</c:v>
                </c:pt>
                <c:pt idx="131">
                  <c:v>4.0242313435307094E-4</c:v>
                </c:pt>
                <c:pt idx="132">
                  <c:v>4.0152851742848218E-4</c:v>
                </c:pt>
                <c:pt idx="133">
                  <c:v>4.0044669310788499E-4</c:v>
                </c:pt>
                <c:pt idx="134">
                  <c:v>3.9917867671844374E-4</c:v>
                </c:pt>
                <c:pt idx="135">
                  <c:v>3.9772565833460989E-4</c:v>
                </c:pt>
                <c:pt idx="136">
                  <c:v>3.9608900166119914E-4</c:v>
                </c:pt>
                <c:pt idx="137">
                  <c:v>3.9427024275350968E-4</c:v>
                </c:pt>
                <c:pt idx="138">
                  <c:v>3.9227108857568452E-4</c:v>
                </c:pt>
                <c:pt idx="139">
                  <c:v>3.9009341539867053E-4</c:v>
                </c:pt>
                <c:pt idx="140">
                  <c:v>3.8773926703927829E-4</c:v>
                </c:pt>
                <c:pt idx="141">
                  <c:v>3.8521085294199175E-4</c:v>
                </c:pt>
                <c:pt idx="142">
                  <c:v>3.825105461053347E-4</c:v>
                </c:pt>
                <c:pt idx="143">
                  <c:v>3.7964088085473485E-4</c:v>
                </c:pt>
                <c:pt idx="144">
                  <c:v>3.7660455046397573E-4</c:v>
                </c:pt>
                <c:pt idx="145">
                  <c:v>3.7340440462747414E-4</c:v>
                </c:pt>
                <c:pt idx="146">
                  <c:v>3.7004344678574753E-4</c:v>
                </c:pt>
                <c:pt idx="147">
                  <c:v>3.665248313065901E-4</c:v>
                </c:pt>
                <c:pt idx="148">
                  <c:v>3.6285186052459415E-4</c:v>
                </c:pt>
                <c:pt idx="149">
                  <c:v>3.5902798164180332E-4</c:v>
                </c:pt>
                <c:pt idx="150">
                  <c:v>3.5505678349240217E-4</c:v>
                </c:pt>
                <c:pt idx="151">
                  <c:v>3.5094199317447773E-4</c:v>
                </c:pt>
                <c:pt idx="152">
                  <c:v>3.4668747255201909E-4</c:v>
                </c:pt>
                <c:pt idx="153">
                  <c:v>3.4229721463043076E-4</c:v>
                </c:pt>
                <c:pt idx="154">
                  <c:v>3.3777533980897009E-4</c:v>
                </c:pt>
                <c:pt idx="155">
                  <c:v>3.331260920136171E-4</c:v>
                </c:pt>
                <c:pt idx="156">
                  <c:v>3.2835383471401322E-4</c:v>
                </c:pt>
                <c:pt idx="157">
                  <c:v>3.2346304682820463E-4</c:v>
                </c:pt>
                <c:pt idx="158">
                  <c:v>3.184583185190309E-4</c:v>
                </c:pt>
                <c:pt idx="159">
                  <c:v>3.1334434688611024E-4</c:v>
                </c:pt>
                <c:pt idx="160">
                  <c:v>3.0812593155745766E-4</c:v>
                </c:pt>
                <c:pt idx="161">
                  <c:v>3.0280797018488018E-4</c:v>
                </c:pt>
                <c:pt idx="162">
                  <c:v>2.9739545384737092E-4</c:v>
                </c:pt>
                <c:pt idx="163">
                  <c:v>2.9189346236681979E-4</c:v>
                </c:pt>
                <c:pt idx="164">
                  <c:v>2.8630715954043742E-4</c:v>
                </c:pt>
                <c:pt idx="165">
                  <c:v>2.8064178829436228E-4</c:v>
                </c:pt>
                <c:pt idx="166">
                  <c:v>2.7490266576300667E-4</c:v>
                </c:pt>
                <c:pt idx="167">
                  <c:v>2.6909517829875202E-4</c:v>
                </c:pt>
                <c:pt idx="168">
                  <c:v>2.6322477641668452E-4</c:v>
                </c:pt>
                <c:pt idx="169">
                  <c:v>2.5729696967910813E-4</c:v>
                </c:pt>
                <c:pt idx="170">
                  <c:v>2.5131732152464364E-4</c:v>
                </c:pt>
                <c:pt idx="171">
                  <c:v>2.452914440467613E-4</c:v>
                </c:pt>
                <c:pt idx="172">
                  <c:v>2.3922499272664759E-4</c:v>
                </c:pt>
                <c:pt idx="173">
                  <c:v>2.3312366112535564E-4</c:v>
                </c:pt>
                <c:pt idx="174">
                  <c:v>2.2699317554021104E-4</c:v>
                </c:pt>
                <c:pt idx="175">
                  <c:v>2.2083928963049956E-4</c:v>
                </c:pt>
                <c:pt idx="176">
                  <c:v>2.1466777901746876E-4</c:v>
                </c:pt>
                <c:pt idx="177">
                  <c:v>2.084844358637226E-4</c:v>
                </c:pt>
                <c:pt idx="178">
                  <c:v>2.0229506343709066E-4</c:v>
                </c:pt>
                <c:pt idx="179">
                  <c:v>1.9610547066407208E-4</c:v>
                </c:pt>
                <c:pt idx="180">
                  <c:v>1.8992146667797498E-4</c:v>
                </c:pt>
                <c:pt idx="181">
                  <c:v>1.8374885536685717E-4</c:v>
                </c:pt>
                <c:pt idx="182">
                  <c:v>1.7759342992639804E-4</c:v>
                </c:pt>
                <c:pt idx="183">
                  <c:v>1.714609674228044E-4</c:v>
                </c:pt>
                <c:pt idx="184">
                  <c:v>1.6535722337086454E-4</c:v>
                </c:pt>
                <c:pt idx="185">
                  <c:v>1.5928792633224153E-4</c:v>
                </c:pt>
                <c:pt idx="186">
                  <c:v>1.5325877253907937E-4</c:v>
                </c:pt>
                <c:pt idx="187">
                  <c:v>1.4727542054799366E-4</c:v>
                </c:pt>
                <c:pt idx="188">
                  <c:v>1.4134348592947777E-4</c:v>
                </c:pt>
                <c:pt idx="189">
                  <c:v>1.3546853599776749E-4</c:v>
                </c:pt>
                <c:pt idx="190">
                  <c:v>1.2965608458618175E-4</c:v>
                </c:pt>
                <c:pt idx="191">
                  <c:v>1.2391158687299401E-4</c:v>
                </c:pt>
                <c:pt idx="192">
                  <c:v>1.1824043426294394E-4</c:v>
                </c:pt>
                <c:pt idx="193">
                  <c:v>1.1264794932964228E-4</c:v>
                </c:pt>
                <c:pt idx="194">
                  <c:v>1.0713938082443245E-4</c:v>
                </c:pt>
                <c:pt idx="195">
                  <c:v>1.0171989875782581E-4</c:v>
                </c:pt>
                <c:pt idx="196">
                  <c:v>9.6394589560725203E-5</c:v>
                </c:pt>
                <c:pt idx="197">
                  <c:v>9.1168451334615398E-5</c:v>
                </c:pt>
                <c:pt idx="198">
                  <c:v>8.6046389203561479E-5</c:v>
                </c:pt>
                <c:pt idx="199">
                  <c:v>8.1033210787500906E-5</c:v>
                </c:pt>
                <c:pt idx="200">
                  <c:v>7.6133621828460384E-5</c:v>
                </c:pt>
                <c:pt idx="201">
                  <c:v>7.135222202350977E-5</c:v>
                </c:pt>
                <c:pt idx="202">
                  <c:v>6.6693501158738904E-5</c:v>
                </c:pt>
                <c:pt idx="203">
                  <c:v>6.2161835712615121E-5</c:v>
                </c:pt>
                <c:pt idx="204">
                  <c:v>5.7761486232672769E-5</c:v>
                </c:pt>
                <c:pt idx="205">
                  <c:v>5.3496596038207625E-5</c:v>
                </c:pt>
                <c:pt idx="206">
                  <c:v>4.9371192258394601E-5</c:v>
                </c:pt>
                <c:pt idx="207">
                  <c:v>4.5389191055222074E-5</c:v>
                </c:pt>
                <c:pt idx="208">
                  <c:v>4.1554410427292591E-5</c:v>
                </c:pt>
                <c:pt idx="209">
                  <c:v>3.7870596841631146E-5</c:v>
                </c:pt>
                <c:pt idx="210">
                  <c:v>3.434147720179097E-5</c:v>
                </c:pt>
                <c:pt idx="211">
                  <c:v>3.0970857377612764E-5</c:v>
                </c:pt>
                <c:pt idx="212">
                  <c:v>2.7762806482823946E-5</c:v>
                </c:pt>
                <c:pt idx="213">
                  <c:v>2.4721999306136598E-5</c:v>
                </c:pt>
                <c:pt idx="214">
                  <c:v>2.185435077347962E-5</c:v>
                </c:pt>
                <c:pt idx="215">
                  <c:v>1.9168190113061006E-5</c:v>
                </c:pt>
                <c:pt idx="216">
                  <c:v>1.667643309254135E-5</c:v>
                </c:pt>
                <c:pt idx="217">
                  <c:v>1.440060085158202E-5</c:v>
                </c:pt>
                <c:pt idx="218">
                  <c:v>1.2378256268473514E-5</c:v>
                </c:pt>
                <c:pt idx="219">
                  <c:v>1.0676766164606546E-5</c:v>
                </c:pt>
                <c:pt idx="220">
                  <c:v>9.4187725728745526E-6</c:v>
                </c:pt>
                <c:pt idx="221">
                  <c:v>8.8293341073602521E-6</c:v>
                </c:pt>
                <c:pt idx="222">
                  <c:v>9.3231604958251688E-6</c:v>
                </c:pt>
                <c:pt idx="223">
                  <c:v>1.1665992847938625E-5</c:v>
                </c:pt>
                <c:pt idx="224">
                  <c:v>1.7273022901111406E-5</c:v>
                </c:pt>
                <c:pt idx="225">
                  <c:v>2.8760404781891273E-5</c:v>
                </c:pt>
                <c:pt idx="226">
                  <c:v>5.0963777113321399E-5</c:v>
                </c:pt>
                <c:pt idx="227">
                  <c:v>9.281762024271384E-5</c:v>
                </c:pt>
                <c:pt idx="228">
                  <c:v>1.7081948295954202E-4</c:v>
                </c:pt>
                <c:pt idx="229">
                  <c:v>3.1540814758351603E-4</c:v>
                </c:pt>
                <c:pt idx="230">
                  <c:v>5.8269129662441945E-4</c:v>
                </c:pt>
                <c:pt idx="231">
                  <c:v>1.075977661078837E-3</c:v>
                </c:pt>
                <c:pt idx="232">
                  <c:v>1.9852460140260351E-3</c:v>
                </c:pt>
                <c:pt idx="233">
                  <c:v>3.6593639769500583E-3</c:v>
                </c:pt>
                <c:pt idx="234">
                  <c:v>6.7379751189235526E-3</c:v>
                </c:pt>
                <c:pt idx="235">
                  <c:v>1.2391848803590972E-2</c:v>
                </c:pt>
                <c:pt idx="236">
                  <c:v>2.2759905150117304E-2</c:v>
                </c:pt>
                <c:pt idx="237">
                  <c:v>4.1741936089430762E-2</c:v>
                </c:pt>
                <c:pt idx="238">
                  <c:v>7.6432828623921104E-2</c:v>
                </c:pt>
                <c:pt idx="239">
                  <c:v>0.1397103329033848</c:v>
                </c:pt>
                <c:pt idx="240">
                  <c:v>0.25489066272521088</c:v>
                </c:pt>
                <c:pt idx="241">
                  <c:v>0.46407869587968881</c:v>
                </c:pt>
                <c:pt idx="242">
                  <c:v>0.8430965196386685</c:v>
                </c:pt>
                <c:pt idx="243">
                  <c:v>1.5280824469058651</c:v>
                </c:pt>
                <c:pt idx="244">
                  <c:v>2.7627156568407689</c:v>
                </c:pt>
                <c:pt idx="245">
                  <c:v>4.9817483598207941</c:v>
                </c:pt>
                <c:pt idx="246">
                  <c:v>8.9581852521839682</c:v>
                </c:pt>
                <c:pt idx="247">
                  <c:v>16.061554006236818</c:v>
                </c:pt>
                <c:pt idx="248">
                  <c:v>28.709201429197734</c:v>
                </c:pt>
                <c:pt idx="249">
                  <c:v>51.151406426045064</c:v>
                </c:pt>
                <c:pt idx="250">
                  <c:v>90.830976295032471</c:v>
                </c:pt>
                <c:pt idx="251">
                  <c:v>160.72649311359712</c:v>
                </c:pt>
                <c:pt idx="252">
                  <c:v>283.3709441798062</c:v>
                </c:pt>
                <c:pt idx="253">
                  <c:v>497.7083619015242</c:v>
                </c:pt>
                <c:pt idx="254">
                  <c:v>870.73073629588305</c:v>
                </c:pt>
                <c:pt idx="255">
                  <c:v>1517.1195864988015</c:v>
                </c:pt>
                <c:pt idx="256">
                  <c:v>2632.210300801109</c:v>
                </c:pt>
                <c:pt idx="257">
                  <c:v>4546.991610570828</c:v>
                </c:pt>
                <c:pt idx="258">
                  <c:v>7819.3137113219254</c:v>
                </c:pt>
                <c:pt idx="259">
                  <c:v>13384.196401286948</c:v>
                </c:pt>
                <c:pt idx="260">
                  <c:v>22799.932062422275</c:v>
                </c:pt>
                <c:pt idx="261">
                  <c:v>38648.349174359857</c:v>
                </c:pt>
                <c:pt idx="262">
                  <c:v>65181.324922906511</c:v>
                </c:pt>
                <c:pt idx="263">
                  <c:v>109357.63168631392</c:v>
                </c:pt>
                <c:pt idx="264">
                  <c:v>182493.60668409948</c:v>
                </c:pt>
                <c:pt idx="265">
                  <c:v>302871.18278120406</c:v>
                </c:pt>
                <c:pt idx="266">
                  <c:v>499826.41784794303</c:v>
                </c:pt>
                <c:pt idx="267">
                  <c:v>820107.40379905794</c:v>
                </c:pt>
                <c:pt idx="268">
                  <c:v>1337679.107982019</c:v>
                </c:pt>
                <c:pt idx="269">
                  <c:v>2168714.2446259079</c:v>
                </c:pt>
                <c:pt idx="270">
                  <c:v>3494310.123987603</c:v>
                </c:pt>
                <c:pt idx="271">
                  <c:v>5594597.8901276095</c:v>
                </c:pt>
                <c:pt idx="272">
                  <c:v>8899471.7468401995</c:v>
                </c:pt>
                <c:pt idx="273">
                  <c:v>14063295.177050617</c:v>
                </c:pt>
                <c:pt idx="274">
                  <c:v>22073795.531633526</c:v>
                </c:pt>
                <c:pt idx="275">
                  <c:v>34409111.950771235</c:v>
                </c:pt>
                <c:pt idx="276">
                  <c:v>53261793.182650179</c:v>
                </c:pt>
                <c:pt idx="277">
                  <c:v>81854611.431351393</c:v>
                </c:pt>
                <c:pt idx="278">
                  <c:v>124880469.43502574</c:v>
                </c:pt>
                <c:pt idx="279">
                  <c:v>189107422.04160544</c:v>
                </c:pt>
                <c:pt idx="280">
                  <c:v>284199713.01127446</c:v>
                </c:pt>
                <c:pt idx="281">
                  <c:v>423816255.67769837</c:v>
                </c:pt>
                <c:pt idx="282">
                  <c:v>627058263.99241841</c:v>
                </c:pt>
                <c:pt idx="283">
                  <c:v>920346320.7772634</c:v>
                </c:pt>
                <c:pt idx="284">
                  <c:v>1339811916.5990942</c:v>
                </c:pt>
                <c:pt idx="285">
                  <c:v>1934286463.1393039</c:v>
                </c:pt>
                <c:pt idx="286">
                  <c:v>2768958169.3156118</c:v>
                </c:pt>
                <c:pt idx="287">
                  <c:v>3929739331.7154479</c:v>
                </c:pt>
                <c:pt idx="288">
                  <c:v>5528338276.9410229</c:v>
                </c:pt>
                <c:pt idx="289">
                  <c:v>7707955953.9090195</c:v>
                </c:pt>
                <c:pt idx="290">
                  <c:v>10649422083.197195</c:v>
                </c:pt>
                <c:pt idx="291">
                  <c:v>14577446468.403048</c:v>
                </c:pt>
                <c:pt idx="292">
                  <c:v>19766487146.764793</c:v>
                </c:pt>
                <c:pt idx="293">
                  <c:v>26545532696.707375</c:v>
                </c:pt>
                <c:pt idx="294">
                  <c:v>35300871841.87204</c:v>
                </c:pt>
                <c:pt idx="295">
                  <c:v>46475698250.597328</c:v>
                </c:pt>
                <c:pt idx="296">
                  <c:v>60565200311.571022</c:v>
                </c:pt>
                <c:pt idx="297">
                  <c:v>78105652684.273468</c:v>
                </c:pt>
                <c:pt idx="298">
                  <c:v>99656005418.368805</c:v>
                </c:pt>
                <c:pt idx="299">
                  <c:v>125770610166.05914</c:v>
                </c:pt>
                <c:pt idx="300">
                  <c:v>156962084918.92807</c:v>
                </c:pt>
                <c:pt idx="301">
                  <c:v>193653945205.76309</c:v>
                </c:pt>
                <c:pt idx="302">
                  <c:v>236123550212.23953</c:v>
                </c:pt>
                <c:pt idx="303">
                  <c:v>284437127742.0036</c:v>
                </c:pt>
                <c:pt idx="304">
                  <c:v>338380113029.3822</c:v>
                </c:pt>
                <c:pt idx="305">
                  <c:v>397387673630.07629</c:v>
                </c:pt>
                <c:pt idx="306">
                  <c:v>460481950385.97156</c:v>
                </c:pt>
                <c:pt idx="307">
                  <c:v>526224021998.52466</c:v>
                </c:pt>
                <c:pt idx="308">
                  <c:v>592689651986.07349</c:v>
                </c:pt>
                <c:pt idx="309">
                  <c:v>657478230989.75671</c:v>
                </c:pt>
                <c:pt idx="310">
                  <c:v>717763720566.35522</c:v>
                </c:pt>
              </c:numCache>
            </c:numRef>
          </c:yVal>
          <c:smooth val="0"/>
          <c:extLst>
            <c:ext xmlns:c16="http://schemas.microsoft.com/office/drawing/2014/chart" uri="{C3380CC4-5D6E-409C-BE32-E72D297353CC}">
              <c16:uniqueId val="{00000000-60A7-4F7A-9DCA-82CBA008A193}"/>
            </c:ext>
          </c:extLst>
        </c:ser>
        <c:dLbls>
          <c:showLegendKey val="0"/>
          <c:showVal val="0"/>
          <c:showCatName val="0"/>
          <c:showSerName val="0"/>
          <c:showPercent val="0"/>
          <c:showBubbleSize val="0"/>
        </c:dLbls>
        <c:axId val="449548672"/>
        <c:axId val="449545312"/>
      </c:scatterChart>
      <c:valAx>
        <c:axId val="4495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45312"/>
        <c:crosses val="autoZero"/>
        <c:crossBetween val="midCat"/>
      </c:valAx>
      <c:valAx>
        <c:axId val="44954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48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Sheet2!$A$1:$A$312</c:f>
              <c:strCache>
                <c:ptCount val="312"/>
                <c:pt idx="0">
                  <c:v>z</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strCache>
            </c:strRef>
          </c:xVal>
          <c:yVal>
            <c:numRef>
              <c:f>Sheet2!$G$1:$G$312</c:f>
              <c:numCache>
                <c:formatCode>General</c:formatCode>
                <c:ptCount val="312"/>
                <c:pt idx="1">
                  <c:v>6.5740870996274969</c:v>
                </c:pt>
                <c:pt idx="2">
                  <c:v>6.0100903303002839</c:v>
                </c:pt>
                <c:pt idx="3">
                  <c:v>5.4422575844587051</c:v>
                </c:pt>
                <c:pt idx="4">
                  <c:v>4.8707308077034881</c:v>
                </c:pt>
                <c:pt idx="5">
                  <c:v>4.2956523351327638</c:v>
                </c:pt>
                <c:pt idx="6">
                  <c:v>3.7171648785230302</c:v>
                </c:pt>
                <c:pt idx="7">
                  <c:v>3.1354115157442579</c:v>
                </c:pt>
                <c:pt idx="8">
                  <c:v>2.550535684089692</c:v>
                </c:pt>
                <c:pt idx="9">
                  <c:v>1.9626811797526451</c:v>
                </c:pt>
                <c:pt idx="10">
                  <c:v>1.3719921662057499</c:v>
                </c:pt>
                <c:pt idx="11">
                  <c:v>0.77861319442434584</c:v>
                </c:pt>
                <c:pt idx="12">
                  <c:v>0.1826892370597118</c:v>
                </c:pt>
                <c:pt idx="13">
                  <c:v>-0.41563426457188335</c:v>
                </c:pt>
                <c:pt idx="14">
                  <c:v>-1.0162113500317118</c:v>
                </c:pt>
                <c:pt idx="15">
                  <c:v>-1.6188955127652072</c:v>
                </c:pt>
                <c:pt idx="16">
                  <c:v>-2.2235397572501441</c:v>
                </c:pt>
                <c:pt idx="17">
                  <c:v>-2.8299968595806173</c:v>
                </c:pt>
                <c:pt idx="18">
                  <c:v>-3.4381200407748507</c:v>
                </c:pt>
                <c:pt idx="19">
                  <c:v>-4.0477643730041226</c:v>
                </c:pt>
                <c:pt idx="20">
                  <c:v>-4.658789301017582</c:v>
                </c:pt>
                <c:pt idx="21">
                  <c:v>-5.2710624357104363</c:v>
                </c:pt>
                <c:pt idx="22">
                  <c:v>-5.8844635895550814</c:v>
                </c:pt>
                <c:pt idx="23">
                  <c:v>-6.4988841374530946</c:v>
                </c:pt>
                <c:pt idx="24">
                  <c:v>-7.1142059711437549</c:v>
                </c:pt>
                <c:pt idx="25">
                  <c:v>-7.7302166655472391</c:v>
                </c:pt>
                <c:pt idx="26">
                  <c:v>-8.3463506929980067</c:v>
                </c:pt>
                <c:pt idx="27">
                  <c:v>-8.9609938877489341</c:v>
                </c:pt>
                <c:pt idx="28">
                  <c:v>-9.5697709378955587</c:v>
                </c:pt>
                <c:pt idx="29">
                  <c:v>-10.161729464766957</c:v>
                </c:pt>
                <c:pt idx="30">
                  <c:v>-10.712300834902784</c:v>
                </c:pt>
                <c:pt idx="31">
                  <c:v>-11.175804090488354</c:v>
                </c:pt>
                <c:pt idx="32">
                  <c:v>-11.493251823007885</c:v>
                </c:pt>
                <c:pt idx="33">
                  <c:v>-11.632481965712797</c:v>
                </c:pt>
                <c:pt idx="34">
                  <c:v>-11.62140258805343</c:v>
                </c:pt>
                <c:pt idx="35">
                  <c:v>-11.520692429113311</c:v>
                </c:pt>
                <c:pt idx="36">
                  <c:v>-11.380545059924033</c:v>
                </c:pt>
                <c:pt idx="37">
                  <c:v>-11.229065451805726</c:v>
                </c:pt>
                <c:pt idx="38">
                  <c:v>-11.0790548945828</c:v>
                </c:pt>
                <c:pt idx="39">
                  <c:v>-10.935520526406465</c:v>
                </c:pt>
                <c:pt idx="40">
                  <c:v>-10.799986851632347</c:v>
                </c:pt>
                <c:pt idx="41">
                  <c:v>-10.672537929248533</c:v>
                </c:pt>
                <c:pt idx="42">
                  <c:v>-10.552714548811634</c:v>
                </c:pt>
                <c:pt idx="43">
                  <c:v>-10.439892930769334</c:v>
                </c:pt>
                <c:pt idx="44">
                  <c:v>-10.333437829820346</c:v>
                </c:pt>
                <c:pt idx="45">
                  <c:v>-10.232759349278485</c:v>
                </c:pt>
                <c:pt idx="46">
                  <c:v>-10.137329504796295</c:v>
                </c:pt>
                <c:pt idx="47">
                  <c:v>-10.046682647499452</c:v>
                </c:pt>
                <c:pt idx="48">
                  <c:v>-9.9604100265814228</c:v>
                </c:pt>
                <c:pt idx="49">
                  <c:v>-9.878152781597306</c:v>
                </c:pt>
                <c:pt idx="50">
                  <c:v>-9.7995950662571385</c:v>
                </c:pt>
                <c:pt idx="51">
                  <c:v>-9.7244578988696695</c:v>
                </c:pt>
                <c:pt idx="52">
                  <c:v>-9.6524938746797169</c:v>
                </c:pt>
                <c:pt idx="53">
                  <c:v>-9.5834826964584217</c:v>
                </c:pt>
                <c:pt idx="54">
                  <c:v>-9.5172274209689771</c:v>
                </c:pt>
                <c:pt idx="55">
                  <c:v>-9.453551309611008</c:v>
                </c:pt>
                <c:pt idx="56">
                  <c:v>-9.3922951808285511</c:v>
                </c:pt>
                <c:pt idx="57">
                  <c:v>-9.3333151766372104</c:v>
                </c:pt>
                <c:pt idx="58">
                  <c:v>-9.2764808705935557</c:v>
                </c:pt>
                <c:pt idx="59">
                  <c:v>-9.2216736578037555</c:v>
                </c:pt>
                <c:pt idx="60">
                  <c:v>-9.1687853786904085</c:v>
                </c:pt>
                <c:pt idx="61">
                  <c:v>-9.1177171373090786</c:v>
                </c:pt>
                <c:pt idx="62">
                  <c:v>-9.0683782823149439</c:v>
                </c:pt>
                <c:pt idx="63">
                  <c:v>-9.0206855245402942</c:v>
                </c:pt>
                <c:pt idx="64">
                  <c:v>-8.9745621698395439</c:v>
                </c:pt>
                <c:pt idx="65">
                  <c:v>-8.9299374496289392</c:v>
                </c:pt>
                <c:pt idx="66">
                  <c:v>-8.8867459345852637</c:v>
                </c:pt>
                <c:pt idx="67">
                  <c:v>-8.8449270194245742</c:v>
                </c:pt>
                <c:pt idx="68">
                  <c:v>-8.8044244686778121</c:v>
                </c:pt>
                <c:pt idx="69">
                  <c:v>-8.7651860150091423</c:v>
                </c:pt>
                <c:pt idx="70">
                  <c:v>-8.7271630029586387</c:v>
                </c:pt>
                <c:pt idx="71">
                  <c:v>-8.6903100720911794</c:v>
                </c:pt>
                <c:pt idx="72">
                  <c:v>-8.6545848744437546</c:v>
                </c:pt>
                <c:pt idx="73">
                  <c:v>-8.619947821919741</c:v>
                </c:pt>
                <c:pt idx="74">
                  <c:v>-8.5863618599098732</c:v>
                </c:pt>
                <c:pt idx="75">
                  <c:v>-8.5537922639482709</c:v>
                </c:pt>
                <c:pt idx="76">
                  <c:v>-8.5222064566564537</c:v>
                </c:pt>
                <c:pt idx="77">
                  <c:v>-8.4915738426034633</c:v>
                </c:pt>
                <c:pt idx="78">
                  <c:v>-8.4618656590280192</c:v>
                </c:pt>
                <c:pt idx="79">
                  <c:v>-8.433054840638663</c:v>
                </c:pt>
                <c:pt idx="80">
                  <c:v>-8.405115896938101</c:v>
                </c:pt>
                <c:pt idx="81">
                  <c:v>-8.3780248007148952</c:v>
                </c:pt>
                <c:pt idx="82">
                  <c:v>-8.3517588865145953</c:v>
                </c:pt>
                <c:pt idx="83">
                  <c:v>-8.3262967580477003</c:v>
                </c:pt>
                <c:pt idx="84">
                  <c:v>-8.3016182036172719</c:v>
                </c:pt>
                <c:pt idx="85">
                  <c:v>-8.2777041187574891</c:v>
                </c:pt>
                <c:pt idx="86">
                  <c:v>-8.254536435368486</c:v>
                </c:pt>
                <c:pt idx="87">
                  <c:v>-8.232098056714646</c:v>
                </c:pt>
                <c:pt idx="88">
                  <c:v>-8.2103727977248155</c:v>
                </c:pt>
                <c:pt idx="89">
                  <c:v>-8.1893453300951915</c:v>
                </c:pt>
                <c:pt idx="90">
                  <c:v>-8.1690011317501998</c:v>
                </c:pt>
                <c:pt idx="91">
                  <c:v>-8.149326440264522</c:v>
                </c:pt>
                <c:pt idx="92">
                  <c:v>-8.130308209891572</c:v>
                </c:pt>
                <c:pt idx="93">
                  <c:v>-8.1119340718808139</c:v>
                </c:pt>
                <c:pt idx="94">
                  <c:v>-8.0941922977990313</c:v>
                </c:pt>
                <c:pt idx="95">
                  <c:v>-8.0770717655997721</c:v>
                </c:pt>
                <c:pt idx="96">
                  <c:v>-8.0605619282107419</c:v>
                </c:pt>
                <c:pt idx="97">
                  <c:v>-8.0446527844319249</c:v>
                </c:pt>
                <c:pt idx="98">
                  <c:v>-8.0293348519573691</c:v>
                </c:pt>
                <c:pt idx="99">
                  <c:v>-8.0145991423518108</c:v>
                </c:pt>
                <c:pt idx="100">
                  <c:v>-8.0004371378294294</c:v>
                </c:pt>
                <c:pt idx="101">
                  <c:v>-7.9868407696964994</c:v>
                </c:pt>
                <c:pt idx="102">
                  <c:v>-7.9738023983327455</c:v>
                </c:pt>
                <c:pt idx="103">
                  <c:v>-7.9613147945977385</c:v>
                </c:pt>
                <c:pt idx="104">
                  <c:v>-7.9493711225592749</c:v>
                </c:pt>
                <c:pt idx="105">
                  <c:v>-7.9379649234500329</c:v>
                </c:pt>
                <c:pt idx="106">
                  <c:v>-7.9270901007673453</c:v>
                </c:pt>
                <c:pt idx="107">
                  <c:v>-7.9167409064386618</c:v>
                </c:pt>
                <c:pt idx="108">
                  <c:v>-7.906911927982188</c:v>
                </c:pt>
                <c:pt idx="109">
                  <c:v>-7.8975980765986016</c:v>
                </c:pt>
                <c:pt idx="110">
                  <c:v>-7.8887945761354192</c:v>
                </c:pt>
                <c:pt idx="111">
                  <c:v>-7.8804969528709181</c:v>
                </c:pt>
                <c:pt idx="112">
                  <c:v>-7.8727010260692349</c:v>
                </c:pt>
                <c:pt idx="113">
                  <c:v>-7.8654028992627056</c:v>
                </c:pt>
                <c:pt idx="114">
                  <c:v>-7.8585989522214792</c:v>
                </c:pt>
                <c:pt idx="115">
                  <c:v>-7.8522858335741894</c:v>
                </c:pt>
                <c:pt idx="116">
                  <c:v>-7.8464604540468228</c:v>
                </c:pt>
                <c:pt idx="117">
                  <c:v>-7.8411199802901095</c:v>
                </c:pt>
                <c:pt idx="118">
                  <c:v>-7.836261829268679</c:v>
                </c:pt>
                <c:pt idx="119">
                  <c:v>-7.8318836631879218</c:v>
                </c:pt>
                <c:pt idx="120">
                  <c:v>-7.8279833849370668</c:v>
                </c:pt>
                <c:pt idx="121">
                  <c:v>-7.8245591340293377</c:v>
                </c:pt>
                <c:pt idx="122">
                  <c:v>-7.8216092830223083</c:v>
                </c:pt>
                <c:pt idx="123">
                  <c:v>-7.819132434403703</c:v>
                </c:pt>
                <c:pt idx="124">
                  <c:v>-7.8171274179298589</c:v>
                </c:pt>
                <c:pt idx="125">
                  <c:v>-7.8155932884060579</c:v>
                </c:pt>
                <c:pt idx="126">
                  <c:v>-7.8145293238997198</c:v>
                </c:pt>
                <c:pt idx="127">
                  <c:v>-7.8139350243792682</c:v>
                </c:pt>
                <c:pt idx="128">
                  <c:v>-7.813810110773205</c:v>
                </c:pt>
                <c:pt idx="129">
                  <c:v>-7.8141545244456241</c:v>
                </c:pt>
                <c:pt idx="130">
                  <c:v>-7.8149684270860753</c:v>
                </c:pt>
                <c:pt idx="131">
                  <c:v>-7.8162522010133229</c:v>
                </c:pt>
                <c:pt idx="132">
                  <c:v>-7.8180064498942299</c:v>
                </c:pt>
                <c:pt idx="133">
                  <c:v>-7.8202319998806376</c:v>
                </c:pt>
                <c:pt idx="134">
                  <c:v>-7.8229299011687843</c:v>
                </c:pt>
                <c:pt idx="135">
                  <c:v>-7.8261014299875571</c:v>
                </c:pt>
                <c:pt idx="136">
                  <c:v>-7.8297480910235775</c:v>
                </c:pt>
                <c:pt idx="137">
                  <c:v>-7.8338716202929719</c:v>
                </c:pt>
                <c:pt idx="138">
                  <c:v>-7.8384739884715495</c:v>
                </c:pt>
                <c:pt idx="139">
                  <c:v>-7.843557404697056</c:v>
                </c:pt>
                <c:pt idx="140">
                  <c:v>-7.8491243208592554</c:v>
                </c:pt>
                <c:pt idx="141">
                  <c:v>-7.8551774363957474</c:v>
                </c:pt>
                <c:pt idx="142">
                  <c:v>-7.8617197036137592</c:v>
                </c:pt>
                <c:pt idx="143">
                  <c:v>-7.8687543335605561</c:v>
                </c:pt>
                <c:pt idx="144">
                  <c:v>-7.8762848024677794</c:v>
                </c:pt>
                <c:pt idx="145">
                  <c:v>-7.8843148587978229</c:v>
                </c:pt>
                <c:pt idx="146">
                  <c:v>-7.8928485309233478</c:v>
                </c:pt>
                <c:pt idx="147">
                  <c:v>-7.9018901354743685</c:v>
                </c:pt>
                <c:pt idx="148">
                  <c:v>-7.9114442863908119</c:v>
                </c:pt>
                <c:pt idx="149">
                  <c:v>-7.9215159047223542</c:v>
                </c:pt>
                <c:pt idx="150">
                  <c:v>-7.9321102292214842</c:v>
                </c:pt>
                <c:pt idx="151">
                  <c:v>-7.9432328277803306</c:v>
                </c:pt>
                <c:pt idx="152">
                  <c:v>-7.9548896097667878</c:v>
                </c:pt>
                <c:pt idx="153">
                  <c:v>-7.9670868393209338</c:v>
                </c:pt>
                <c:pt idx="154">
                  <c:v>-7.9798311496787973</c:v>
                </c:pt>
                <c:pt idx="155">
                  <c:v>-7.9931295585970856</c:v>
                </c:pt>
                <c:pt idx="156">
                  <c:v>-8.0069894849598811</c:v>
                </c:pt>
                <c:pt idx="157">
                  <c:v>-8.0214187666562982</c:v>
                </c:pt>
                <c:pt idx="158">
                  <c:v>-8.0364256798271008</c:v>
                </c:pt>
                <c:pt idx="159">
                  <c:v>-8.0520189595881462</c:v>
                </c:pt>
                <c:pt idx="160">
                  <c:v>-8.0682078223495459</c:v>
                </c:pt>
                <c:pt idx="161">
                  <c:v>-8.0850019898616825</c:v>
                </c:pt>
                <c:pt idx="162">
                  <c:v>-8.1024117151328561</c:v>
                </c:pt>
                <c:pt idx="163">
                  <c:v>-8.1204478103786251</c:v>
                </c:pt>
                <c:pt idx="164">
                  <c:v>-8.1391216771798902</c:v>
                </c:pt>
                <c:pt idx="165">
                  <c:v>-8.1584453390459561</c:v>
                </c:pt>
                <c:pt idx="166">
                  <c:v>-8.178431476600208</c:v>
                </c:pt>
                <c:pt idx="167">
                  <c:v>-8.1990934656301722</c:v>
                </c:pt>
                <c:pt idx="168">
                  <c:v>-8.220445418270975</c:v>
                </c:pt>
                <c:pt idx="169">
                  <c:v>-8.2425022276218129</c:v>
                </c:pt>
                <c:pt idx="170">
                  <c:v>-8.2652796161298863</c:v>
                </c:pt>
                <c:pt idx="171">
                  <c:v>-8.2887941881154639</c:v>
                </c:pt>
                <c:pt idx="172">
                  <c:v>-8.3130634868566027</c:v>
                </c:pt>
                <c:pt idx="173">
                  <c:v>-8.3381060567027614</c:v>
                </c:pt>
                <c:pt idx="174">
                  <c:v>-8.3639415107446986</c:v>
                </c:pt>
                <c:pt idx="175">
                  <c:v>-8.3905906046343048</c:v>
                </c:pt>
                <c:pt idx="176">
                  <c:v>-8.4180753172240461</c:v>
                </c:pt>
                <c:pt idx="177">
                  <c:v>-8.4464189387830597</c:v>
                </c:pt>
                <c:pt idx="178">
                  <c:v>-8.4756461676473513</c:v>
                </c:pt>
                <c:pt idx="179">
                  <c:v>-8.5057832162776812</c:v>
                </c:pt>
                <c:pt idx="180">
                  <c:v>-8.536857927833033</c:v>
                </c:pt>
                <c:pt idx="181">
                  <c:v>-8.5688999045233469</c:v>
                </c:pt>
                <c:pt idx="182">
                  <c:v>-8.6019406491867461</c:v>
                </c:pt>
                <c:pt idx="183">
                  <c:v>-8.6360137217481547</c:v>
                </c:pt>
                <c:pt idx="184">
                  <c:v>-8.6711549124643046</c:v>
                </c:pt>
                <c:pt idx="185">
                  <c:v>-8.7074024341512803</c:v>
                </c:pt>
                <c:pt idx="186">
                  <c:v>-8.7447971359341814</c:v>
                </c:pt>
                <c:pt idx="187">
                  <c:v>-8.7833827414644023</c:v>
                </c:pt>
                <c:pt idx="188">
                  <c:v>-8.823206115031871</c:v>
                </c:pt>
                <c:pt idx="189">
                  <c:v>-8.8643175595737116</c:v>
                </c:pt>
                <c:pt idx="190">
                  <c:v>-8.9067711512672005</c:v>
                </c:pt>
                <c:pt idx="191">
                  <c:v>-8.9506251162194097</c:v>
                </c:pt>
                <c:pt idx="192">
                  <c:v>-8.9959422557598678</c:v>
                </c:pt>
                <c:pt idx="193">
                  <c:v>-9.0427904280466347</c:v>
                </c:pt>
                <c:pt idx="194">
                  <c:v>-9.0912430951607934</c:v>
                </c:pt>
                <c:pt idx="195">
                  <c:v>-9.1413799466542329</c:v>
                </c:pt>
                <c:pt idx="196">
                  <c:v>-9.1932876127133891</c:v>
                </c:pt>
                <c:pt idx="197">
                  <c:v>-9.2470604828115768</c:v>
                </c:pt>
                <c:pt idx="198">
                  <c:v>-9.3028016490795178</c:v>
                </c:pt>
                <c:pt idx="199">
                  <c:v>-9.3606239977959529</c:v>
                </c:pt>
                <c:pt idx="200">
                  <c:v>-9.4206514776006198</c:v>
                </c:pt>
                <c:pt idx="201">
                  <c:v>-9.4830205795171594</c:v>
                </c:pt>
                <c:pt idx="202">
                  <c:v>-9.5478820719403679</c:v>
                </c:pt>
                <c:pt idx="203">
                  <c:v>-9.6154030436916518</c:v>
                </c:pt>
                <c:pt idx="204">
                  <c:v>-9.6857693202847166</c:v>
                </c:pt>
                <c:pt idx="205">
                  <c:v>-9.7591883325356612</c:v>
                </c:pt>
                <c:pt idx="206">
                  <c:v>-9.8358925315405621</c:v>
                </c:pt>
                <c:pt idx="207">
                  <c:v>-9.9161434565341224</c:v>
                </c:pt>
                <c:pt idx="208">
                  <c:v>-10.000236563747201</c:v>
                </c:pt>
                <c:pt idx="209">
                  <c:v>-10.088506894828129</c:v>
                </c:pt>
                <c:pt idx="210">
                  <c:v>-10.181335555899317</c:v>
                </c:pt>
                <c:pt idx="211">
                  <c:v>-10.279156686478068</c:v>
                </c:pt>
                <c:pt idx="212">
                  <c:v>-10.382463880228917</c:v>
                </c:pt>
                <c:pt idx="213">
                  <c:v>-10.491813329351301</c:v>
                </c:pt>
                <c:pt idx="214">
                  <c:v>-10.607817050565281</c:v>
                </c:pt>
                <c:pt idx="215">
                  <c:v>-10.731110536176727</c:v>
                </c:pt>
                <c:pt idx="216">
                  <c:v>-10.862258417828073</c:v>
                </c:pt>
                <c:pt idx="217">
                  <c:v>-11.001514027274249</c:v>
                </c:pt>
                <c:pt idx="218">
                  <c:v>-11.148240626448509</c:v>
                </c:pt>
                <c:pt idx="219">
                  <c:v>-11.299569151316945</c:v>
                </c:pt>
                <c:pt idx="220">
                  <c:v>-11.447440563859622</c:v>
                </c:pt>
                <c:pt idx="221">
                  <c:v>-11.572805777985275</c:v>
                </c:pt>
                <c:pt idx="222">
                  <c:v>-11.637430958722057</c:v>
                </c:pt>
                <c:pt idx="223">
                  <c:v>-11.583008877757116</c:v>
                </c:pt>
                <c:pt idx="224">
                  <c:v>-11.358832542701881</c:v>
                </c:pt>
                <c:pt idx="225">
                  <c:v>-10.966364643421121</c:v>
                </c:pt>
                <c:pt idx="226">
                  <c:v>-10.456510950735812</c:v>
                </c:pt>
                <c:pt idx="227">
                  <c:v>-9.8843954302688495</c:v>
                </c:pt>
                <c:pt idx="228">
                  <c:v>-9.2848740628906672</c:v>
                </c:pt>
                <c:pt idx="229">
                  <c:v>-8.6749032142653828</c:v>
                </c:pt>
                <c:pt idx="230">
                  <c:v>-8.0616430512277226</c:v>
                </c:pt>
                <c:pt idx="231">
                  <c:v>-7.4478530202157591</c:v>
                </c:pt>
                <c:pt idx="232">
                  <c:v>-6.8345255785372068</c:v>
                </c:pt>
                <c:pt idx="233">
                  <c:v>-6.2220124359854356</c:v>
                </c:pt>
                <c:pt idx="234">
                  <c:v>-5.6104659234593992</c:v>
                </c:pt>
                <c:pt idx="235">
                  <c:v>-4.9999958266547049</c:v>
                </c:pt>
                <c:pt idx="236">
                  <c:v>-4.3907163770724935</c:v>
                </c:pt>
                <c:pt idx="237">
                  <c:v>-3.7827548371264821</c:v>
                </c:pt>
                <c:pt idx="238">
                  <c:v>-3.1762489938992089</c:v>
                </c:pt>
                <c:pt idx="239">
                  <c:v>-2.5713429810713238</c:v>
                </c:pt>
                <c:pt idx="240">
                  <c:v>-1.9681840505054249</c:v>
                </c:pt>
                <c:pt idx="241">
                  <c:v>-1.3669205994000311</c:v>
                </c:pt>
                <c:pt idx="242">
                  <c:v>-0.76770113794789208</c:v>
                </c:pt>
                <c:pt idx="243">
                  <c:v>-0.1706738321148463</c:v>
                </c:pt>
                <c:pt idx="244">
                  <c:v>0.42401364668780706</c:v>
                </c:pt>
                <c:pt idx="245">
                  <c:v>1.0162141296216061</c:v>
                </c:pt>
                <c:pt idx="246">
                  <c:v>1.605780905692944</c:v>
                </c:pt>
                <c:pt idx="247">
                  <c:v>2.1925676676543291</c:v>
                </c:pt>
                <c:pt idx="248">
                  <c:v>2.7764284663677365</c:v>
                </c:pt>
                <c:pt idx="249">
                  <c:v>3.3572176786711605</c:v>
                </c:pt>
                <c:pt idx="250">
                  <c:v>3.9347899881299875</c:v>
                </c:pt>
                <c:pt idx="251">
                  <c:v>4.5090003760529926</c:v>
                </c:pt>
                <c:pt idx="252">
                  <c:v>5.0797041198498798</c:v>
                </c:pt>
                <c:pt idx="253">
                  <c:v>5.6467567961705472</c:v>
                </c:pt>
                <c:pt idx="254">
                  <c:v>6.2100142868114254</c:v>
                </c:pt>
                <c:pt idx="255">
                  <c:v>6.7693327858844032</c:v>
                </c:pt>
                <c:pt idx="256">
                  <c:v>7.3245688071570312</c:v>
                </c:pt>
                <c:pt idx="257">
                  <c:v>7.8755791907734292</c:v>
                </c:pt>
                <c:pt idx="258">
                  <c:v>8.4222211087762062</c:v>
                </c:pt>
                <c:pt idx="259">
                  <c:v>8.9643520689876404</c:v>
                </c:pt>
                <c:pt idx="260">
                  <c:v>9.501829916893044</c:v>
                </c:pt>
                <c:pt idx="261">
                  <c:v>10.034512835219772</c:v>
                </c:pt>
                <c:pt idx="262">
                  <c:v>10.562259340926401</c:v>
                </c:pt>
                <c:pt idx="263">
                  <c:v>11.084928279323751</c:v>
                </c:pt>
                <c:pt idx="264">
                  <c:v>11.60237881503965</c:v>
                </c:pt>
                <c:pt idx="265">
                  <c:v>12.114470419523105</c:v>
                </c:pt>
                <c:pt idx="266">
                  <c:v>12.621062854758197</c:v>
                </c:pt>
                <c:pt idx="267">
                  <c:v>13.122016152824736</c:v>
                </c:pt>
                <c:pt idx="268">
                  <c:v>13.617190590906027</c:v>
                </c:pt>
                <c:pt idx="269">
                  <c:v>14.10644666129674</c:v>
                </c:pt>
                <c:pt idx="270">
                  <c:v>14.589645035913577</c:v>
                </c:pt>
                <c:pt idx="271">
                  <c:v>15.066646524749197</c:v>
                </c:pt>
                <c:pt idx="272">
                  <c:v>15.537312027641871</c:v>
                </c:pt>
                <c:pt idx="273">
                  <c:v>16.001502478653215</c:v>
                </c:pt>
                <c:pt idx="274">
                  <c:v>16.459078782253851</c:v>
                </c:pt>
                <c:pt idx="275">
                  <c:v>16.909901740412298</c:v>
                </c:pt>
                <c:pt idx="276">
                  <c:v>17.353831969558367</c:v>
                </c:pt>
                <c:pt idx="277">
                  <c:v>17.790729806252127</c:v>
                </c:pt>
                <c:pt idx="278">
                  <c:v>18.220455200223107</c:v>
                </c:pt>
                <c:pt idx="279">
                  <c:v>18.642867593253317</c:v>
                </c:pt>
                <c:pt idx="280">
                  <c:v>19.057825782153035</c:v>
                </c:pt>
                <c:pt idx="281">
                  <c:v>19.465187763814217</c:v>
                </c:pt>
                <c:pt idx="282">
                  <c:v>19.864810560018263</c:v>
                </c:pt>
                <c:pt idx="283">
                  <c:v>20.256550019307713</c:v>
                </c:pt>
                <c:pt idx="284">
                  <c:v>20.640260592800704</c:v>
                </c:pt>
                <c:pt idx="285">
                  <c:v>21.015795080310795</c:v>
                </c:pt>
                <c:pt idx="286">
                  <c:v>21.383004342522501</c:v>
                </c:pt>
                <c:pt idx="287">
                  <c:v>21.741736974237309</c:v>
                </c:pt>
                <c:pt idx="288">
                  <c:v>22.091838932820021</c:v>
                </c:pt>
                <c:pt idx="289">
                  <c:v>22.433153114908034</c:v>
                </c:pt>
                <c:pt idx="290">
                  <c:v>22.76551887314762</c:v>
                </c:pt>
                <c:pt idx="291">
                  <c:v>23.088771463140947</c:v>
                </c:pt>
                <c:pt idx="292">
                  <c:v>23.402741408846882</c:v>
                </c:pt>
                <c:pt idx="293">
                  <c:v>23.707253772289548</c:v>
                </c:pt>
                <c:pt idx="294">
                  <c:v>24.002127310466033</c:v>
                </c:pt>
                <c:pt idx="295">
                  <c:v>24.287173498650699</c:v>
                </c:pt>
                <c:pt idx="296">
                  <c:v>24.562195394660471</c:v>
                </c:pt>
                <c:pt idx="297">
                  <c:v>24.82698631279138</c:v>
                </c:pt>
                <c:pt idx="298">
                  <c:v>25.081328268692431</c:v>
                </c:pt>
                <c:pt idx="299">
                  <c:v>25.324990146900923</c:v>
                </c:pt>
                <c:pt idx="300">
                  <c:v>25.557725530437288</c:v>
                </c:pt>
                <c:pt idx="301">
                  <c:v>25.779270115797875</c:v>
                </c:pt>
                <c:pt idx="302">
                  <c:v>25.989338615567004</c:v>
                </c:pt>
                <c:pt idx="303">
                  <c:v>26.187621022832833</c:v>
                </c:pt>
                <c:pt idx="304">
                  <c:v>26.373778073970946</c:v>
                </c:pt>
                <c:pt idx="305">
                  <c:v>26.547435695307925</c:v>
                </c:pt>
                <c:pt idx="306">
                  <c:v>26.708178149044262</c:v>
                </c:pt>
                <c:pt idx="307">
                  <c:v>26.855539496186243</c:v>
                </c:pt>
                <c:pt idx="308">
                  <c:v>26.988992856351192</c:v>
                </c:pt>
                <c:pt idx="309">
                  <c:v>27.107936746478753</c:v>
                </c:pt>
                <c:pt idx="310">
                  <c:v>27.211677491689397</c:v>
                </c:pt>
                <c:pt idx="311">
                  <c:v>27.299406271844784</c:v>
                </c:pt>
              </c:numCache>
            </c:numRef>
          </c:yVal>
          <c:smooth val="0"/>
          <c:extLst>
            <c:ext xmlns:c16="http://schemas.microsoft.com/office/drawing/2014/chart" uri="{C3380CC4-5D6E-409C-BE32-E72D297353CC}">
              <c16:uniqueId val="{00000000-8A78-47BD-A8C3-D13E54D98B5B}"/>
            </c:ext>
          </c:extLst>
        </c:ser>
        <c:dLbls>
          <c:showLegendKey val="0"/>
          <c:showVal val="0"/>
          <c:showCatName val="0"/>
          <c:showSerName val="0"/>
          <c:showPercent val="0"/>
          <c:showBubbleSize val="0"/>
        </c:dLbls>
        <c:axId val="410442352"/>
        <c:axId val="410443312"/>
      </c:scatterChart>
      <c:valAx>
        <c:axId val="41044235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43312"/>
        <c:crosses val="autoZero"/>
        <c:crossBetween val="midCat"/>
      </c:valAx>
      <c:valAx>
        <c:axId val="41044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42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415638</xdr:colOff>
      <xdr:row>19</xdr:row>
      <xdr:rowOff>9959</xdr:rowOff>
    </xdr:from>
    <xdr:to>
      <xdr:col>3</xdr:col>
      <xdr:colOff>185740</xdr:colOff>
      <xdr:row>46</xdr:row>
      <xdr:rowOff>157597</xdr:rowOff>
    </xdr:to>
    <xdr:graphicFrame macro="">
      <xdr:nvGraphicFramePr>
        <xdr:cNvPr id="12" name="Chart 11">
          <a:extLst>
            <a:ext uri="{FF2B5EF4-FFF2-40B4-BE49-F238E27FC236}">
              <a16:creationId xmlns:a16="http://schemas.microsoft.com/office/drawing/2014/main" id="{AEA4F2FF-0107-0ACD-EBB3-16526E193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300036</xdr:colOff>
      <xdr:row>74</xdr:row>
      <xdr:rowOff>158750</xdr:rowOff>
    </xdr:from>
    <xdr:to>
      <xdr:col>4</xdr:col>
      <xdr:colOff>15875</xdr:colOff>
      <xdr:row>80</xdr:row>
      <xdr:rowOff>146050</xdr:rowOff>
    </xdr:to>
    <xdr:graphicFrame macro="">
      <xdr:nvGraphicFramePr>
        <xdr:cNvPr id="18" name="Chart 17">
          <a:extLst>
            <a:ext uri="{FF2B5EF4-FFF2-40B4-BE49-F238E27FC236}">
              <a16:creationId xmlns:a16="http://schemas.microsoft.com/office/drawing/2014/main" id="{22F04AE9-97E2-6A2D-604B-5B0283591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338137</xdr:colOff>
      <xdr:row>65</xdr:row>
      <xdr:rowOff>14287</xdr:rowOff>
    </xdr:from>
    <xdr:to>
      <xdr:col>25</xdr:col>
      <xdr:colOff>33337</xdr:colOff>
      <xdr:row>79</xdr:row>
      <xdr:rowOff>90487</xdr:rowOff>
    </xdr:to>
    <xdr:graphicFrame macro="">
      <xdr:nvGraphicFramePr>
        <xdr:cNvPr id="28" name="Chart 27">
          <a:extLst>
            <a:ext uri="{FF2B5EF4-FFF2-40B4-BE49-F238E27FC236}">
              <a16:creationId xmlns:a16="http://schemas.microsoft.com/office/drawing/2014/main" id="{36DDC028-2BF6-8233-5B9D-DE4EA24FF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576262</xdr:colOff>
      <xdr:row>95</xdr:row>
      <xdr:rowOff>100012</xdr:rowOff>
    </xdr:from>
    <xdr:to>
      <xdr:col>24</xdr:col>
      <xdr:colOff>271462</xdr:colOff>
      <xdr:row>109</xdr:row>
      <xdr:rowOff>176212</xdr:rowOff>
    </xdr:to>
    <xdr:graphicFrame macro="">
      <xdr:nvGraphicFramePr>
        <xdr:cNvPr id="30" name="Chart 29">
          <a:extLst>
            <a:ext uri="{FF2B5EF4-FFF2-40B4-BE49-F238E27FC236}">
              <a16:creationId xmlns:a16="http://schemas.microsoft.com/office/drawing/2014/main" id="{42A304B5-82BF-3282-2F99-F97EB0249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290512</xdr:colOff>
      <xdr:row>80</xdr:row>
      <xdr:rowOff>71437</xdr:rowOff>
    </xdr:from>
    <xdr:to>
      <xdr:col>22</xdr:col>
      <xdr:colOff>595312</xdr:colOff>
      <xdr:row>94</xdr:row>
      <xdr:rowOff>147637</xdr:rowOff>
    </xdr:to>
    <xdr:graphicFrame macro="">
      <xdr:nvGraphicFramePr>
        <xdr:cNvPr id="31" name="Chart 30">
          <a:extLst>
            <a:ext uri="{FF2B5EF4-FFF2-40B4-BE49-F238E27FC236}">
              <a16:creationId xmlns:a16="http://schemas.microsoft.com/office/drawing/2014/main" id="{2D28A109-A94E-CB40-B1A3-751BC7F3D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395287</xdr:colOff>
      <xdr:row>79</xdr:row>
      <xdr:rowOff>100012</xdr:rowOff>
    </xdr:from>
    <xdr:to>
      <xdr:col>24</xdr:col>
      <xdr:colOff>90487</xdr:colOff>
      <xdr:row>93</xdr:row>
      <xdr:rowOff>176212</xdr:rowOff>
    </xdr:to>
    <xdr:graphicFrame macro="">
      <xdr:nvGraphicFramePr>
        <xdr:cNvPr id="32" name="Chart 31">
          <a:extLst>
            <a:ext uri="{FF2B5EF4-FFF2-40B4-BE49-F238E27FC236}">
              <a16:creationId xmlns:a16="http://schemas.microsoft.com/office/drawing/2014/main" id="{A903B588-1481-0E60-4DFD-8E9F17BB6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xdr:colOff>
      <xdr:row>0</xdr:row>
      <xdr:rowOff>100011</xdr:rowOff>
    </xdr:from>
    <xdr:to>
      <xdr:col>8</xdr:col>
      <xdr:colOff>85725</xdr:colOff>
      <xdr:row>31</xdr:row>
      <xdr:rowOff>9525</xdr:rowOff>
    </xdr:to>
    <xdr:graphicFrame macro="">
      <xdr:nvGraphicFramePr>
        <xdr:cNvPr id="6" name="Chart 5">
          <a:extLst>
            <a:ext uri="{FF2B5EF4-FFF2-40B4-BE49-F238E27FC236}">
              <a16:creationId xmlns:a16="http://schemas.microsoft.com/office/drawing/2014/main" id="{071E4D43-9F20-C6CA-1A0B-740446CE7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280987</xdr:colOff>
      <xdr:row>0</xdr:row>
      <xdr:rowOff>185736</xdr:rowOff>
    </xdr:from>
    <xdr:to>
      <xdr:col>19</xdr:col>
      <xdr:colOff>323850</xdr:colOff>
      <xdr:row>31</xdr:row>
      <xdr:rowOff>95249</xdr:rowOff>
    </xdr:to>
    <xdr:graphicFrame macro="">
      <xdr:nvGraphicFramePr>
        <xdr:cNvPr id="12" name="Chart 11">
          <a:extLst>
            <a:ext uri="{FF2B5EF4-FFF2-40B4-BE49-F238E27FC236}">
              <a16:creationId xmlns:a16="http://schemas.microsoft.com/office/drawing/2014/main" id="{34FDEA89-33E3-AFC9-4A14-5B775F8EB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690562</xdr:colOff>
      <xdr:row>16</xdr:row>
      <xdr:rowOff>176212</xdr:rowOff>
    </xdr:from>
    <xdr:to>
      <xdr:col>12</xdr:col>
      <xdr:colOff>423862</xdr:colOff>
      <xdr:row>28</xdr:row>
      <xdr:rowOff>142875</xdr:rowOff>
    </xdr:to>
    <xdr:graphicFrame macro="">
      <xdr:nvGraphicFramePr>
        <xdr:cNvPr id="11" name="Chart 10">
          <a:extLst>
            <a:ext uri="{FF2B5EF4-FFF2-40B4-BE49-F238E27FC236}">
              <a16:creationId xmlns:a16="http://schemas.microsoft.com/office/drawing/2014/main" id="{E18DB6E0-7884-2FC4-D7DF-6A63D9ECF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204787</xdr:colOff>
      <xdr:row>19</xdr:row>
      <xdr:rowOff>4762</xdr:rowOff>
    </xdr:from>
    <xdr:to>
      <xdr:col>18</xdr:col>
      <xdr:colOff>47625</xdr:colOff>
      <xdr:row>41</xdr:row>
      <xdr:rowOff>80962</xdr:rowOff>
    </xdr:to>
    <xdr:graphicFrame macro="">
      <xdr:nvGraphicFramePr>
        <xdr:cNvPr id="12" name="Chart 11">
          <a:extLst>
            <a:ext uri="{FF2B5EF4-FFF2-40B4-BE49-F238E27FC236}">
              <a16:creationId xmlns:a16="http://schemas.microsoft.com/office/drawing/2014/main" id="{E115F6F0-6A74-F3D4-584B-7A2EECE0C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538162</xdr:colOff>
      <xdr:row>4</xdr:row>
      <xdr:rowOff>52387</xdr:rowOff>
    </xdr:from>
    <xdr:to>
      <xdr:col>16</xdr:col>
      <xdr:colOff>285750</xdr:colOff>
      <xdr:row>18</xdr:row>
      <xdr:rowOff>128587</xdr:rowOff>
    </xdr:to>
    <xdr:graphicFrame macro="">
      <xdr:nvGraphicFramePr>
        <xdr:cNvPr id="3" name="Chart 2">
          <a:extLst>
            <a:ext uri="{FF2B5EF4-FFF2-40B4-BE49-F238E27FC236}">
              <a16:creationId xmlns:a16="http://schemas.microsoft.com/office/drawing/2014/main" id="{448F3012-65F2-68CD-513E-A43584253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319087</xdr:colOff>
      <xdr:row>4</xdr:row>
      <xdr:rowOff>4762</xdr:rowOff>
    </xdr:from>
    <xdr:to>
      <xdr:col>23</xdr:col>
      <xdr:colOff>104775</xdr:colOff>
      <xdr:row>18</xdr:row>
      <xdr:rowOff>80962</xdr:rowOff>
    </xdr:to>
    <xdr:graphicFrame macro="">
      <xdr:nvGraphicFramePr>
        <xdr:cNvPr id="4" name="Chart 3">
          <a:extLst>
            <a:ext uri="{FF2B5EF4-FFF2-40B4-BE49-F238E27FC236}">
              <a16:creationId xmlns:a16="http://schemas.microsoft.com/office/drawing/2014/main" id="{30BE7170-CE90-F05B-6EFE-54BCE31D4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519112</xdr:colOff>
      <xdr:row>6</xdr:row>
      <xdr:rowOff>109537</xdr:rowOff>
    </xdr:from>
    <xdr:to>
      <xdr:col>20</xdr:col>
      <xdr:colOff>214312</xdr:colOff>
      <xdr:row>20</xdr:row>
      <xdr:rowOff>185737</xdr:rowOff>
    </xdr:to>
    <xdr:graphicFrame macro="">
      <xdr:nvGraphicFramePr>
        <xdr:cNvPr id="6" name="Chart 5">
          <a:extLst>
            <a:ext uri="{FF2B5EF4-FFF2-40B4-BE49-F238E27FC236}">
              <a16:creationId xmlns:a16="http://schemas.microsoft.com/office/drawing/2014/main" id="{102A45A2-7DFB-6AFF-7815-1DBBA317F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1D759-D734-4069-9D39-B7813B347ECA}">
  <dimension ref="A21:O110"/>
  <sheetViews>
    <sheetView topLeftCell="A21" zoomScale="110" zoomScaleNormal="110" workbookViewId="0">
      <selection activeCell="L35" sqref="L35"/>
    </sheetView>
  </sheetViews>
  <sheetFormatPr defaultRowHeight="15" x14ac:dyDescent="0.25"/>
  <cols>
    <col min="10" max="10" width="12" bestFit="1" customWidth="1"/>
  </cols>
  <sheetData>
    <row r="21" spans="5:9" x14ac:dyDescent="0.25">
      <c r="G21" t="s">
        <v>0</v>
      </c>
    </row>
    <row r="24" spans="5:9" x14ac:dyDescent="0.25">
      <c r="E24">
        <v>0</v>
      </c>
      <c r="F24">
        <v>-1440</v>
      </c>
      <c r="G24">
        <f>F24</f>
        <v>-1440</v>
      </c>
      <c r="H24">
        <v>125.625</v>
      </c>
    </row>
    <row r="25" spans="5:9" x14ac:dyDescent="0.25">
      <c r="E25">
        <v>102</v>
      </c>
      <c r="F25">
        <v>-1340</v>
      </c>
      <c r="G25">
        <f>F25</f>
        <v>-1340</v>
      </c>
    </row>
    <row r="26" spans="5:9" x14ac:dyDescent="0.25">
      <c r="E26">
        <v>160</v>
      </c>
      <c r="G26">
        <v>-1200</v>
      </c>
    </row>
    <row r="27" spans="5:9" x14ac:dyDescent="0.25">
      <c r="E27">
        <v>208</v>
      </c>
      <c r="G27">
        <v>-1000</v>
      </c>
      <c r="I27" t="str">
        <f t="shared" ref="I27:I31" si="0">E25&amp;" "&amp;G25&amp;","</f>
        <v>102 -1340,</v>
      </c>
    </row>
    <row r="28" spans="5:9" x14ac:dyDescent="0.25">
      <c r="E28">
        <v>275</v>
      </c>
      <c r="G28">
        <v>-500</v>
      </c>
      <c r="I28" t="str">
        <f t="shared" si="0"/>
        <v>160 -1200,</v>
      </c>
    </row>
    <row r="29" spans="5:9" x14ac:dyDescent="0.25">
      <c r="E29">
        <v>300</v>
      </c>
      <c r="G29">
        <v>-100</v>
      </c>
      <c r="I29" t="str">
        <f t="shared" si="0"/>
        <v>208 -1000,</v>
      </c>
    </row>
    <row r="30" spans="5:9" x14ac:dyDescent="0.25">
      <c r="E30">
        <f>E29+18</f>
        <v>318</v>
      </c>
      <c r="G30">
        <v>300</v>
      </c>
      <c r="I30" t="str">
        <f t="shared" si="0"/>
        <v>275 -500,</v>
      </c>
    </row>
    <row r="31" spans="5:9" x14ac:dyDescent="0.25">
      <c r="E31">
        <f>E30+15</f>
        <v>333</v>
      </c>
      <c r="G31">
        <v>700</v>
      </c>
      <c r="I31" t="str">
        <f t="shared" si="0"/>
        <v>300 -100,</v>
      </c>
    </row>
    <row r="32" spans="5:9" x14ac:dyDescent="0.25">
      <c r="E32">
        <f>E31+12</f>
        <v>345</v>
      </c>
      <c r="G32">
        <v>1100</v>
      </c>
      <c r="I32" t="str">
        <f t="shared" ref="I32:I42" si="1">E30&amp;" "&amp;G30&amp;","</f>
        <v>318 300,</v>
      </c>
    </row>
    <row r="33" spans="4:9" x14ac:dyDescent="0.25">
      <c r="E33">
        <f>E32+9</f>
        <v>354</v>
      </c>
      <c r="G33">
        <v>1400</v>
      </c>
      <c r="I33" t="str">
        <f t="shared" si="1"/>
        <v>333 700,</v>
      </c>
    </row>
    <row r="34" spans="4:9" x14ac:dyDescent="0.25">
      <c r="E34">
        <v>358</v>
      </c>
      <c r="G34">
        <v>1700</v>
      </c>
      <c r="I34" t="str">
        <f t="shared" si="1"/>
        <v>345 1100,</v>
      </c>
    </row>
    <row r="35" spans="4:9" x14ac:dyDescent="0.25">
      <c r="E35">
        <f>E33+6</f>
        <v>360</v>
      </c>
      <c r="G35">
        <v>2000</v>
      </c>
      <c r="I35" t="str">
        <f t="shared" si="1"/>
        <v>354 1400,</v>
      </c>
    </row>
    <row r="36" spans="4:9" x14ac:dyDescent="0.25">
      <c r="E36">
        <v>362</v>
      </c>
      <c r="G36">
        <v>2200</v>
      </c>
      <c r="I36" t="str">
        <f t="shared" si="1"/>
        <v>358 1700,</v>
      </c>
    </row>
    <row r="37" spans="4:9" x14ac:dyDescent="0.25">
      <c r="E37">
        <f>E35+3</f>
        <v>363</v>
      </c>
      <c r="G37">
        <v>2400</v>
      </c>
      <c r="I37" t="str">
        <f t="shared" si="1"/>
        <v>360 2000,</v>
      </c>
    </row>
    <row r="38" spans="4:9" x14ac:dyDescent="0.25">
      <c r="E38">
        <v>363.5</v>
      </c>
      <c r="G38">
        <v>2600</v>
      </c>
      <c r="I38" t="str">
        <f t="shared" si="1"/>
        <v>362 2200,</v>
      </c>
    </row>
    <row r="39" spans="4:9" x14ac:dyDescent="0.25">
      <c r="E39">
        <f>E37+1</f>
        <v>364</v>
      </c>
      <c r="G39">
        <v>2700</v>
      </c>
      <c r="I39" t="str">
        <f t="shared" si="1"/>
        <v>363 2400,</v>
      </c>
    </row>
    <row r="40" spans="4:9" x14ac:dyDescent="0.25">
      <c r="E40">
        <v>363.9</v>
      </c>
      <c r="G40">
        <v>2800</v>
      </c>
      <c r="I40" t="str">
        <f t="shared" si="1"/>
        <v>363.5 2600,</v>
      </c>
    </row>
    <row r="41" spans="4:9" x14ac:dyDescent="0.25">
      <c r="D41">
        <v>0.25</v>
      </c>
      <c r="E41">
        <f>E39-D41</f>
        <v>363.75</v>
      </c>
      <c r="F41">
        <f>SQRT(126^2-1.22*(E41-250)^2)+874</f>
        <v>883.50493292980013</v>
      </c>
      <c r="G41">
        <f>F41+2000</f>
        <v>2883.5049329297999</v>
      </c>
      <c r="I41" t="str">
        <f t="shared" si="1"/>
        <v>364 2700,</v>
      </c>
    </row>
    <row r="42" spans="4:9" x14ac:dyDescent="0.25">
      <c r="D42">
        <f>D41+0.25</f>
        <v>0.5</v>
      </c>
      <c r="E42">
        <f t="shared" ref="E42:E69" si="2">E41-D42</f>
        <v>363.25</v>
      </c>
      <c r="F42">
        <f t="shared" ref="F42:F69" si="3">SQRT(126^2-1.22*(E42-250)^2)+874</f>
        <v>889.12659082543064</v>
      </c>
      <c r="G42">
        <f t="shared" ref="G42:G71" si="4">F42+2000</f>
        <v>2889.1265908254309</v>
      </c>
      <c r="I42" t="str">
        <f t="shared" si="1"/>
        <v>363.9 2800,</v>
      </c>
    </row>
    <row r="43" spans="4:9" x14ac:dyDescent="0.25">
      <c r="D43">
        <f t="shared" ref="D43:D70" si="5">D42+0.25</f>
        <v>0.75</v>
      </c>
      <c r="E43">
        <f t="shared" si="2"/>
        <v>362.5</v>
      </c>
      <c r="F43">
        <f t="shared" si="3"/>
        <v>894.86564161486535</v>
      </c>
      <c r="G43">
        <f t="shared" si="4"/>
        <v>2894.8656416148651</v>
      </c>
      <c r="I43" t="str">
        <f>E41&amp;" "&amp;G41&amp;","</f>
        <v>363.75 2883.5049329298,</v>
      </c>
    </row>
    <row r="44" spans="4:9" x14ac:dyDescent="0.25">
      <c r="D44">
        <f t="shared" si="5"/>
        <v>1</v>
      </c>
      <c r="E44">
        <f t="shared" si="2"/>
        <v>361.5</v>
      </c>
      <c r="F44">
        <f t="shared" si="3"/>
        <v>900.62057474961807</v>
      </c>
      <c r="G44">
        <f t="shared" si="4"/>
        <v>2900.6205747496178</v>
      </c>
      <c r="I44" t="str">
        <f t="shared" ref="I44:I72" si="6">E42&amp;" "&amp;G42&amp;","</f>
        <v>363.25 2889.12659082543,</v>
      </c>
    </row>
    <row r="45" spans="4:9" x14ac:dyDescent="0.25">
      <c r="D45">
        <f t="shared" si="5"/>
        <v>1.25</v>
      </c>
      <c r="E45">
        <f t="shared" si="2"/>
        <v>360.25</v>
      </c>
      <c r="F45">
        <f t="shared" si="3"/>
        <v>906.35465577007426</v>
      </c>
      <c r="G45">
        <f t="shared" si="4"/>
        <v>2906.3546557700743</v>
      </c>
      <c r="I45" t="str">
        <f t="shared" si="6"/>
        <v>362.5 2894.86564161487,</v>
      </c>
    </row>
    <row r="46" spans="4:9" x14ac:dyDescent="0.25">
      <c r="D46">
        <f t="shared" si="5"/>
        <v>1.5</v>
      </c>
      <c r="E46">
        <f t="shared" si="2"/>
        <v>358.75</v>
      </c>
      <c r="F46">
        <f t="shared" si="3"/>
        <v>912.04725679993237</v>
      </c>
      <c r="G46">
        <f t="shared" si="4"/>
        <v>2912.0472567999323</v>
      </c>
      <c r="I46" t="str">
        <f t="shared" si="6"/>
        <v>361.5 2900.62057474962,</v>
      </c>
    </row>
    <row r="47" spans="4:9" x14ac:dyDescent="0.25">
      <c r="D47">
        <f t="shared" si="5"/>
        <v>1.75</v>
      </c>
      <c r="E47">
        <f t="shared" si="2"/>
        <v>357</v>
      </c>
      <c r="F47">
        <f t="shared" si="3"/>
        <v>917.68317754010116</v>
      </c>
      <c r="G47">
        <f t="shared" si="4"/>
        <v>2917.683177540101</v>
      </c>
      <c r="I47" t="str">
        <f t="shared" si="6"/>
        <v>360.25 2906.35465577007,</v>
      </c>
    </row>
    <row r="48" spans="4:9" x14ac:dyDescent="0.25">
      <c r="D48">
        <f t="shared" si="5"/>
        <v>2</v>
      </c>
      <c r="E48">
        <f t="shared" si="2"/>
        <v>355</v>
      </c>
      <c r="F48">
        <f t="shared" si="3"/>
        <v>923.24936547814605</v>
      </c>
      <c r="G48">
        <f t="shared" si="4"/>
        <v>2923.249365478146</v>
      </c>
      <c r="I48" t="str">
        <f t="shared" si="6"/>
        <v>358.75 2912.04725679993,</v>
      </c>
    </row>
    <row r="49" spans="3:10" x14ac:dyDescent="0.25">
      <c r="D49">
        <f t="shared" si="5"/>
        <v>2.25</v>
      </c>
      <c r="E49">
        <f t="shared" si="2"/>
        <v>352.75</v>
      </c>
      <c r="F49">
        <f t="shared" si="3"/>
        <v>928.73366194582638</v>
      </c>
      <c r="G49">
        <f t="shared" si="4"/>
        <v>2928.7336619458265</v>
      </c>
      <c r="I49" t="str">
        <f t="shared" si="6"/>
        <v>357 2917.6831775401,</v>
      </c>
      <c r="J49" s="5"/>
    </row>
    <row r="50" spans="3:10" x14ac:dyDescent="0.25">
      <c r="D50">
        <f t="shared" si="5"/>
        <v>2.5</v>
      </c>
      <c r="E50">
        <f t="shared" si="2"/>
        <v>350.25</v>
      </c>
      <c r="F50">
        <f t="shared" si="3"/>
        <v>934.12423596188148</v>
      </c>
      <c r="G50">
        <f t="shared" si="4"/>
        <v>2934.1242359618814</v>
      </c>
      <c r="I50" t="str">
        <f t="shared" si="6"/>
        <v>355 2923.24936547815,</v>
      </c>
    </row>
    <row r="51" spans="3:10" x14ac:dyDescent="0.25">
      <c r="D51">
        <f t="shared" si="5"/>
        <v>2.75</v>
      </c>
      <c r="E51">
        <f t="shared" si="2"/>
        <v>347.5</v>
      </c>
      <c r="F51">
        <f t="shared" si="3"/>
        <v>939.40928833124542</v>
      </c>
      <c r="G51">
        <f t="shared" si="4"/>
        <v>2939.4092883312455</v>
      </c>
      <c r="I51" t="str">
        <f t="shared" si="6"/>
        <v>352.75 2928.73366194583,</v>
      </c>
    </row>
    <row r="52" spans="3:10" x14ac:dyDescent="0.25">
      <c r="D52">
        <f t="shared" si="5"/>
        <v>3</v>
      </c>
      <c r="E52">
        <f t="shared" si="2"/>
        <v>344.5</v>
      </c>
      <c r="F52">
        <f t="shared" si="3"/>
        <v>944.57687298258543</v>
      </c>
      <c r="G52">
        <f t="shared" si="4"/>
        <v>2944.5768729825854</v>
      </c>
      <c r="I52" t="str">
        <f t="shared" si="6"/>
        <v>350.25 2934.12423596188,</v>
      </c>
    </row>
    <row r="53" spans="3:10" x14ac:dyDescent="0.25">
      <c r="D53">
        <f t="shared" si="5"/>
        <v>3.25</v>
      </c>
      <c r="E53">
        <f t="shared" si="2"/>
        <v>341.25</v>
      </c>
      <c r="F53">
        <f t="shared" si="3"/>
        <v>949.61477203562811</v>
      </c>
      <c r="G53">
        <f t="shared" si="4"/>
        <v>2949.614772035628</v>
      </c>
      <c r="I53" t="str">
        <f t="shared" si="6"/>
        <v>347.5 2939.40928833125,</v>
      </c>
    </row>
    <row r="54" spans="3:10" x14ac:dyDescent="0.25">
      <c r="D54">
        <f t="shared" si="5"/>
        <v>3.5</v>
      </c>
      <c r="E54">
        <f t="shared" si="2"/>
        <v>337.75</v>
      </c>
      <c r="F54">
        <f t="shared" si="3"/>
        <v>954.51039529153979</v>
      </c>
      <c r="G54">
        <f t="shared" si="4"/>
        <v>2954.5103952915397</v>
      </c>
      <c r="I54" t="str">
        <f t="shared" si="6"/>
        <v>344.5 2944.57687298259,</v>
      </c>
    </row>
    <row r="55" spans="3:10" x14ac:dyDescent="0.25">
      <c r="D55">
        <f t="shared" si="5"/>
        <v>3.75</v>
      </c>
      <c r="E55">
        <f t="shared" si="2"/>
        <v>334</v>
      </c>
      <c r="F55">
        <f t="shared" si="3"/>
        <v>959.25068914677468</v>
      </c>
      <c r="G55">
        <f t="shared" si="4"/>
        <v>2959.2506891467747</v>
      </c>
      <c r="H55" s="5"/>
      <c r="I55" t="str">
        <f t="shared" si="6"/>
        <v>341.25 2949.61477203563,</v>
      </c>
    </row>
    <row r="56" spans="3:10" x14ac:dyDescent="0.25">
      <c r="D56">
        <f t="shared" si="5"/>
        <v>4</v>
      </c>
      <c r="E56">
        <f t="shared" si="2"/>
        <v>330</v>
      </c>
      <c r="F56">
        <f t="shared" si="3"/>
        <v>963.82204629154251</v>
      </c>
      <c r="G56">
        <f t="shared" si="4"/>
        <v>2963.8220462915424</v>
      </c>
      <c r="I56" t="str">
        <f t="shared" si="6"/>
        <v>337.75 2954.51039529154,</v>
      </c>
    </row>
    <row r="57" spans="3:10" x14ac:dyDescent="0.25">
      <c r="D57">
        <f t="shared" si="5"/>
        <v>4.25</v>
      </c>
      <c r="E57">
        <f t="shared" si="2"/>
        <v>325.75</v>
      </c>
      <c r="F57">
        <f t="shared" si="3"/>
        <v>968.21021043390147</v>
      </c>
      <c r="G57">
        <f t="shared" si="4"/>
        <v>2968.2102104339015</v>
      </c>
      <c r="I57" t="str">
        <f t="shared" si="6"/>
        <v>334 2959.25068914677,</v>
      </c>
    </row>
    <row r="58" spans="3:10" x14ac:dyDescent="0.25">
      <c r="D58">
        <f t="shared" si="5"/>
        <v>4.5</v>
      </c>
      <c r="E58">
        <f t="shared" si="2"/>
        <v>321.25</v>
      </c>
      <c r="F58">
        <f t="shared" si="3"/>
        <v>972.40017149375296</v>
      </c>
      <c r="G58">
        <f t="shared" si="4"/>
        <v>2972.4001714937531</v>
      </c>
      <c r="I58" t="str">
        <f t="shared" si="6"/>
        <v>330 2963.82204629154,</v>
      </c>
    </row>
    <row r="59" spans="3:10" x14ac:dyDescent="0.25">
      <c r="D59">
        <f t="shared" si="5"/>
        <v>4.75</v>
      </c>
      <c r="E59">
        <f t="shared" si="2"/>
        <v>316.5</v>
      </c>
      <c r="F59">
        <f t="shared" si="3"/>
        <v>976.37604700319309</v>
      </c>
      <c r="G59">
        <f t="shared" si="4"/>
        <v>2976.376047003193</v>
      </c>
      <c r="I59" t="str">
        <f t="shared" si="6"/>
        <v>325.75 2968.2102104339,</v>
      </c>
    </row>
    <row r="60" spans="3:10" x14ac:dyDescent="0.25">
      <c r="D60">
        <f t="shared" si="5"/>
        <v>5</v>
      </c>
      <c r="E60">
        <f t="shared" si="2"/>
        <v>311.5</v>
      </c>
      <c r="F60">
        <f t="shared" si="3"/>
        <v>980.1209451522177</v>
      </c>
      <c r="G60">
        <f t="shared" si="4"/>
        <v>2980.1209451522177</v>
      </c>
      <c r="I60" t="str">
        <f t="shared" si="6"/>
        <v>321.25 2972.40017149375,</v>
      </c>
    </row>
    <row r="61" spans="3:10" x14ac:dyDescent="0.25">
      <c r="D61">
        <f t="shared" si="5"/>
        <v>5.25</v>
      </c>
      <c r="E61">
        <f t="shared" si="2"/>
        <v>306.25</v>
      </c>
      <c r="F61">
        <f t="shared" si="3"/>
        <v>983.61680414060606</v>
      </c>
      <c r="G61">
        <f t="shared" si="4"/>
        <v>2983.6168041406063</v>
      </c>
      <c r="I61" t="str">
        <f t="shared" si="6"/>
        <v>316.5 2976.37604700319,</v>
      </c>
    </row>
    <row r="62" spans="3:10" x14ac:dyDescent="0.25">
      <c r="D62">
        <f t="shared" si="5"/>
        <v>5.5</v>
      </c>
      <c r="E62">
        <f t="shared" si="2"/>
        <v>300.75</v>
      </c>
      <c r="F62">
        <f t="shared" si="3"/>
        <v>986.84420122452013</v>
      </c>
      <c r="G62">
        <f t="shared" si="4"/>
        <v>2986.84420122452</v>
      </c>
      <c r="I62" t="str">
        <f t="shared" si="6"/>
        <v>311.5 2980.12094515222,</v>
      </c>
    </row>
    <row r="63" spans="3:10" x14ac:dyDescent="0.25">
      <c r="C63">
        <f>SUM(D41:D71)</f>
        <v>116.25</v>
      </c>
      <c r="D63">
        <f t="shared" si="5"/>
        <v>5.75</v>
      </c>
      <c r="E63">
        <f t="shared" si="2"/>
        <v>295</v>
      </c>
      <c r="F63">
        <f t="shared" si="3"/>
        <v>989.78212297241748</v>
      </c>
      <c r="G63">
        <f t="shared" si="4"/>
        <v>2989.7821229724177</v>
      </c>
      <c r="I63" t="str">
        <f t="shared" si="6"/>
        <v>306.25 2983.61680414061,</v>
      </c>
    </row>
    <row r="64" spans="3:10" x14ac:dyDescent="0.25">
      <c r="C64" s="2">
        <f>E39-E70</f>
        <v>114</v>
      </c>
      <c r="D64">
        <f t="shared" si="5"/>
        <v>6</v>
      </c>
      <c r="E64">
        <f t="shared" si="2"/>
        <v>289</v>
      </c>
      <c r="F64">
        <f t="shared" si="3"/>
        <v>992.40768556136891</v>
      </c>
      <c r="G64">
        <f t="shared" si="4"/>
        <v>2992.4076855613689</v>
      </c>
      <c r="I64" t="str">
        <f t="shared" si="6"/>
        <v>300.75 2986.84420122452,</v>
      </c>
    </row>
    <row r="65" spans="4:11" x14ac:dyDescent="0.25">
      <c r="D65">
        <f t="shared" si="5"/>
        <v>6.25</v>
      </c>
      <c r="E65">
        <f t="shared" si="2"/>
        <v>282.75</v>
      </c>
      <c r="F65">
        <f t="shared" si="3"/>
        <v>994.69579010885172</v>
      </c>
      <c r="G65">
        <f t="shared" si="4"/>
        <v>2994.6957901088517</v>
      </c>
      <c r="I65" t="str">
        <f t="shared" si="6"/>
        <v>295 2989.78212297242,</v>
      </c>
    </row>
    <row r="66" spans="4:11" x14ac:dyDescent="0.25">
      <c r="D66">
        <f t="shared" si="5"/>
        <v>6.5</v>
      </c>
      <c r="E66">
        <f t="shared" si="2"/>
        <v>276.25</v>
      </c>
      <c r="F66">
        <f t="shared" si="3"/>
        <v>996.61869249833001</v>
      </c>
      <c r="G66">
        <f t="shared" si="4"/>
        <v>2996.6186924983299</v>
      </c>
      <c r="I66" t="str">
        <f t="shared" si="6"/>
        <v>289 2992.40768556137,</v>
      </c>
    </row>
    <row r="67" spans="4:11" x14ac:dyDescent="0.25">
      <c r="D67">
        <f t="shared" si="5"/>
        <v>6.75</v>
      </c>
      <c r="E67">
        <f t="shared" si="2"/>
        <v>269.5</v>
      </c>
      <c r="F67">
        <f t="shared" si="3"/>
        <v>998.14545903898374</v>
      </c>
      <c r="G67">
        <f t="shared" si="4"/>
        <v>2998.145459038984</v>
      </c>
      <c r="I67" t="str">
        <f t="shared" si="6"/>
        <v>282.75 2994.69579010885,</v>
      </c>
    </row>
    <row r="68" spans="4:11" x14ac:dyDescent="0.25">
      <c r="D68">
        <f t="shared" si="5"/>
        <v>7</v>
      </c>
      <c r="E68">
        <f t="shared" si="2"/>
        <v>262.5</v>
      </c>
      <c r="F68">
        <f t="shared" si="3"/>
        <v>999.24126716062881</v>
      </c>
      <c r="G68">
        <f t="shared" si="4"/>
        <v>2999.2412671606289</v>
      </c>
      <c r="I68" t="str">
        <f t="shared" si="6"/>
        <v>276.25 2996.61869249833,</v>
      </c>
    </row>
    <row r="69" spans="4:11" x14ac:dyDescent="0.25">
      <c r="D69">
        <f t="shared" si="5"/>
        <v>7.25</v>
      </c>
      <c r="E69">
        <f t="shared" si="2"/>
        <v>255.25</v>
      </c>
      <c r="F69">
        <f t="shared" si="3"/>
        <v>999.8664917680635</v>
      </c>
      <c r="G69">
        <f t="shared" si="4"/>
        <v>2999.8664917680635</v>
      </c>
      <c r="I69" t="str">
        <f t="shared" si="6"/>
        <v>269.5 2998.14545903898,</v>
      </c>
    </row>
    <row r="70" spans="4:11" x14ac:dyDescent="0.25">
      <c r="D70">
        <f t="shared" si="5"/>
        <v>7.5</v>
      </c>
      <c r="E70">
        <v>250</v>
      </c>
      <c r="F70">
        <v>1000</v>
      </c>
      <c r="G70">
        <f t="shared" si="4"/>
        <v>3000</v>
      </c>
      <c r="I70" t="str">
        <f t="shared" si="6"/>
        <v>262.5 2999.24126716063,</v>
      </c>
    </row>
    <row r="71" spans="4:11" x14ac:dyDescent="0.25">
      <c r="E71">
        <v>0</v>
      </c>
      <c r="F71">
        <v>1000</v>
      </c>
      <c r="G71">
        <f t="shared" si="4"/>
        <v>3000</v>
      </c>
      <c r="I71" t="str">
        <f t="shared" si="6"/>
        <v>255.25 2999.86649176806,</v>
      </c>
    </row>
    <row r="72" spans="4:11" x14ac:dyDescent="0.25">
      <c r="I72" t="str">
        <f t="shared" si="6"/>
        <v>250 3000,</v>
      </c>
    </row>
    <row r="73" spans="4:11" x14ac:dyDescent="0.25">
      <c r="I73" t="s">
        <v>52</v>
      </c>
    </row>
    <row r="74" spans="4:11" x14ac:dyDescent="0.25">
      <c r="I74" t="str">
        <f>I27&amp;I28&amp;I29&amp;I30&amp;I31&amp;I32&amp;I32&amp;I33&amp;I34&amp;I35&amp;I36&amp;I37&amp;I38&amp;I39&amp;I40&amp;I41&amp;I42&amp;I43&amp;I44&amp;I45&amp;I46&amp;I47&amp;I48&amp;I49&amp;I50&amp;I51&amp;I52&amp;I53&amp;I54&amp;I55&amp;I56&amp;I57&amp;I58&amp;I59&amp;I60&amp;I61&amp;I62&amp;I63&amp;I64&amp;I65&amp;I66&amp;I67&amp;I68&amp;I69&amp;I70&amp;I71&amp;I72&amp;I73</f>
        <v>102 -1340,160 -1200,208 -1000,275 -500,300 -100,318 300,318 300,333 700,345 1100,354 1400,358 1700,360 2000,362 2200,363 2400,363.5 2600,364 2700,363.9 2800,363.75 2883.5049329298,363.25 2889.12659082543,362.5 2894.86564161487,361.5 2900.62057474962,360.25 2906.35465577007,358.75 2912.04725679993,357 2917.6831775401,355 2923.24936547815,352.75 2928.73366194583,350.25 2934.12423596188,347.5 2939.40928833125,344.5 2944.57687298259,341.25 2949.61477203563,337.75 2954.51039529154,334 2959.25068914677,330 2963.82204629154,325.75 2968.2102104339,321.25 2972.40017149375,316.5 2976.37604700319,311.5 2980.12094515222,306.25 2983.61680414061,300.75 2986.84420122452,295 2989.78212297242,289 2992.40768556137,282.75 2994.69579010885,276.25 2996.61869249833,269.5 2998.14545903898,262.5 2999.24126716063,255.25 2999.86649176806,250 3000,0.0 3000]</v>
      </c>
    </row>
    <row r="79" spans="4:11" x14ac:dyDescent="0.25">
      <c r="J79" t="s">
        <v>29</v>
      </c>
      <c r="K79">
        <v>0</v>
      </c>
    </row>
    <row r="80" spans="4:11" x14ac:dyDescent="0.25">
      <c r="K80">
        <v>0</v>
      </c>
    </row>
    <row r="81" spans="1:15" ht="15.75" thickBot="1" x14ac:dyDescent="0.3">
      <c r="J81" t="s">
        <v>27</v>
      </c>
      <c r="K81">
        <f>-RADIANS(K80)</f>
        <v>0</v>
      </c>
    </row>
    <row r="82" spans="1:15" x14ac:dyDescent="0.25">
      <c r="D82" t="s">
        <v>3</v>
      </c>
      <c r="E82" t="s">
        <v>4</v>
      </c>
      <c r="F82" t="s">
        <v>26</v>
      </c>
      <c r="G82" t="s">
        <v>5</v>
      </c>
      <c r="I82" t="s">
        <v>6</v>
      </c>
      <c r="J82" t="s">
        <v>40</v>
      </c>
      <c r="K82" t="s">
        <v>36</v>
      </c>
      <c r="L82" t="s">
        <v>39</v>
      </c>
      <c r="M82" t="s">
        <v>36</v>
      </c>
      <c r="N82" s="6" t="s">
        <v>4</v>
      </c>
      <c r="O82" s="7"/>
    </row>
    <row r="83" spans="1:15" x14ac:dyDescent="0.25">
      <c r="A83" t="s">
        <v>7</v>
      </c>
      <c r="D83">
        <v>2</v>
      </c>
      <c r="E83">
        <f>0.018145</f>
        <v>1.8145000000000001E-2</v>
      </c>
      <c r="F83" s="1">
        <f>E83*EXP(H83)</f>
        <v>1.8290343457641481E-2</v>
      </c>
      <c r="G83" s="1">
        <v>7.9781999999999995E-3</v>
      </c>
      <c r="H83" s="1">
        <f>G83+$K$79</f>
        <v>7.9781999999999995E-3</v>
      </c>
      <c r="I83" s="1">
        <f>E83^2+G83^2</f>
        <v>3.9289270024000004E-4</v>
      </c>
      <c r="J83">
        <f>SIN($O$83*(D83+$O$84))*$O$85</f>
        <v>1.8073595467935188E-2</v>
      </c>
      <c r="K83">
        <f>(E83-J83)^2</f>
        <v>5.0986071993949012E-9</v>
      </c>
      <c r="L83" s="1">
        <f>SIN($O$87*(D83+$O$88))*$O$89</f>
        <v>7.8028847475728269E-3</v>
      </c>
      <c r="M83" s="1">
        <f>(G83-L83)^2</f>
        <v>3.0735437733603245E-8</v>
      </c>
      <c r="N83" s="8" t="s">
        <v>30</v>
      </c>
      <c r="O83" s="9">
        <v>1.5580495166388937E-3</v>
      </c>
    </row>
    <row r="84" spans="1:15" x14ac:dyDescent="0.25">
      <c r="A84" t="s">
        <v>2</v>
      </c>
      <c r="D84">
        <v>4</v>
      </c>
      <c r="E84">
        <f>0.018161</f>
        <v>1.8161E-2</v>
      </c>
      <c r="F84" s="1">
        <f t="shared" ref="F84:F109" si="7">E84*EXP(H84)</f>
        <v>1.8305338483889454E-2</v>
      </c>
      <c r="G84">
        <f>0.0079163</f>
        <v>7.9162999999999994E-3</v>
      </c>
      <c r="H84" s="1">
        <f t="shared" ref="H84:H109" si="8">G84+$K$79</f>
        <v>7.9162999999999994E-3</v>
      </c>
      <c r="I84" s="1">
        <f t="shared" ref="I84:I109" si="9">E84^2+G84^2</f>
        <v>3.9248972668999999E-4</v>
      </c>
      <c r="J84">
        <f t="shared" ref="J84:J109" si="10">SIN($O$83*(D84+$O$84))*$O$85</f>
        <v>1.8096913923142419E-2</v>
      </c>
      <c r="K84">
        <f t="shared" ref="K84:K109" si="11">(E84-J84)^2</f>
        <v>4.1070252469957435E-9</v>
      </c>
      <c r="L84" s="1">
        <f t="shared" ref="L84:L109" si="12">SIN($O$87*(D84+$O$88))*$O$89</f>
        <v>7.7460888224770309E-3</v>
      </c>
      <c r="M84" s="1">
        <f t="shared" ref="M84:M109" si="13">(G84-L84)^2</f>
        <v>2.8971844953755505E-8</v>
      </c>
      <c r="N84" s="8" t="s">
        <v>37</v>
      </c>
      <c r="O84" s="9">
        <v>753.37661021195242</v>
      </c>
    </row>
    <row r="85" spans="1:15" ht="15.75" thickBot="1" x14ac:dyDescent="0.3">
      <c r="A85" t="s">
        <v>8</v>
      </c>
      <c r="D85">
        <v>14</v>
      </c>
      <c r="E85" s="1">
        <v>1.8280000000000001E-2</v>
      </c>
      <c r="F85" s="1">
        <f t="shared" si="7"/>
        <v>1.8419735402263143E-2</v>
      </c>
      <c r="G85" s="1">
        <v>7.6150999999999996E-3</v>
      </c>
      <c r="H85" s="1">
        <f t="shared" si="8"/>
        <v>7.6150999999999996E-3</v>
      </c>
      <c r="I85" s="1">
        <f t="shared" si="9"/>
        <v>3.9214814801000008E-4</v>
      </c>
      <c r="J85">
        <f t="shared" si="10"/>
        <v>1.8210865897222955E-2</v>
      </c>
      <c r="K85">
        <f t="shared" si="11"/>
        <v>4.7795241667871269E-9</v>
      </c>
      <c r="L85" s="1">
        <f t="shared" si="12"/>
        <v>7.4610293048321275E-3</v>
      </c>
      <c r="M85" s="1">
        <f t="shared" si="13"/>
        <v>2.3737779109511374E-8</v>
      </c>
      <c r="N85" s="8" t="s">
        <v>38</v>
      </c>
      <c r="O85" s="9">
        <v>1.9572323856603929E-2</v>
      </c>
    </row>
    <row r="86" spans="1:15" x14ac:dyDescent="0.25">
      <c r="A86" t="s">
        <v>9</v>
      </c>
      <c r="D86">
        <v>28</v>
      </c>
      <c r="E86" s="1">
        <v>1.8414E-2</v>
      </c>
      <c r="F86" s="1">
        <f t="shared" si="7"/>
        <v>1.8547218743838304E-2</v>
      </c>
      <c r="G86">
        <f>0.0072086</f>
        <v>7.2085999999999999E-3</v>
      </c>
      <c r="H86" s="1">
        <f t="shared" si="8"/>
        <v>7.2085999999999999E-3</v>
      </c>
      <c r="I86" s="1">
        <f t="shared" si="9"/>
        <v>3.9103930995999998E-4</v>
      </c>
      <c r="J86">
        <f t="shared" si="10"/>
        <v>1.836296600786173E-2</v>
      </c>
      <c r="K86">
        <f t="shared" si="11"/>
        <v>2.6044683535689821E-9</v>
      </c>
      <c r="L86" s="1">
        <f t="shared" si="12"/>
        <v>7.0590198537370591E-3</v>
      </c>
      <c r="M86" s="1">
        <f t="shared" si="13"/>
        <v>2.2374220156042775E-8</v>
      </c>
      <c r="N86" s="6" t="s">
        <v>41</v>
      </c>
      <c r="O86" s="7"/>
    </row>
    <row r="87" spans="1:15" x14ac:dyDescent="0.25">
      <c r="A87" t="s">
        <v>1</v>
      </c>
      <c r="D87">
        <v>42</v>
      </c>
      <c r="E87">
        <f>0.018592</f>
        <v>1.8592000000000001E-2</v>
      </c>
      <c r="F87" s="1">
        <f t="shared" si="7"/>
        <v>1.8718637413679615E-2</v>
      </c>
      <c r="G87" s="1">
        <v>6.7882999999999997E-3</v>
      </c>
      <c r="H87" s="1">
        <f t="shared" si="8"/>
        <v>6.7882999999999997E-3</v>
      </c>
      <c r="I87" s="1">
        <f t="shared" si="9"/>
        <v>3.9174348089000003E-4</v>
      </c>
      <c r="J87">
        <f t="shared" si="10"/>
        <v>1.8506329483463809E-2</v>
      </c>
      <c r="K87">
        <f t="shared" si="11"/>
        <v>7.3394374035779102E-9</v>
      </c>
      <c r="L87" s="1">
        <f t="shared" si="12"/>
        <v>6.6537639649432391E-3</v>
      </c>
      <c r="M87" s="1">
        <f t="shared" si="13"/>
        <v>1.8099944728793929E-8</v>
      </c>
      <c r="N87" s="8" t="s">
        <v>30</v>
      </c>
      <c r="O87" s="9">
        <v>1.5318337067582836E-3</v>
      </c>
    </row>
    <row r="88" spans="1:15" x14ac:dyDescent="0.25">
      <c r="A88" t="s">
        <v>10</v>
      </c>
      <c r="D88">
        <v>52</v>
      </c>
      <c r="E88" s="1">
        <v>1.8695E-2</v>
      </c>
      <c r="F88" s="1">
        <f t="shared" si="7"/>
        <v>1.8816578350877446E-2</v>
      </c>
      <c r="G88" s="1">
        <v>6.4821999999999996E-3</v>
      </c>
      <c r="H88" s="1">
        <f t="shared" si="8"/>
        <v>6.4821999999999996E-3</v>
      </c>
      <c r="I88" s="1">
        <f t="shared" si="9"/>
        <v>3.9152194183999996E-4</v>
      </c>
      <c r="J88">
        <f t="shared" si="10"/>
        <v>1.8603345057122793E-2</v>
      </c>
      <c r="K88">
        <f t="shared" si="11"/>
        <v>8.4006285538240611E-9</v>
      </c>
      <c r="L88" s="1">
        <f t="shared" si="12"/>
        <v>6.3624110422999909E-3</v>
      </c>
      <c r="M88" s="1">
        <f t="shared" si="13"/>
        <v>1.4349394386854479E-8</v>
      </c>
      <c r="N88" s="8" t="s">
        <v>37</v>
      </c>
      <c r="O88" s="9">
        <v>1788.6442242667897</v>
      </c>
    </row>
    <row r="89" spans="1:15" ht="15.75" thickBot="1" x14ac:dyDescent="0.3">
      <c r="A89" t="s">
        <v>11</v>
      </c>
      <c r="D89">
        <v>62</v>
      </c>
      <c r="E89" s="1">
        <v>1.8803E-2</v>
      </c>
      <c r="F89" s="1">
        <f t="shared" si="7"/>
        <v>1.8919066660628495E-2</v>
      </c>
      <c r="G89" s="1">
        <v>6.1538000000000001E-3</v>
      </c>
      <c r="H89" s="1">
        <f t="shared" si="8"/>
        <v>6.1538000000000001E-3</v>
      </c>
      <c r="I89" s="1">
        <f t="shared" si="9"/>
        <v>3.9142206343999999E-4</v>
      </c>
      <c r="J89">
        <f t="shared" si="10"/>
        <v>1.8695844726086715E-2</v>
      </c>
      <c r="K89">
        <f t="shared" si="11"/>
        <v>1.1482252727431256E-8</v>
      </c>
      <c r="L89" s="1">
        <f t="shared" si="12"/>
        <v>6.0695651998702209E-3</v>
      </c>
      <c r="M89" s="1">
        <f t="shared" si="13"/>
        <v>7.0955015529038409E-9</v>
      </c>
      <c r="N89" s="10" t="s">
        <v>38</v>
      </c>
      <c r="O89" s="11">
        <v>2.0102750349637044E-2</v>
      </c>
    </row>
    <row r="90" spans="1:15" x14ac:dyDescent="0.25">
      <c r="A90" t="s">
        <v>12</v>
      </c>
      <c r="D90">
        <v>72</v>
      </c>
      <c r="E90">
        <f>0.018874</f>
        <v>1.8873999999999998E-2</v>
      </c>
      <c r="F90" s="1">
        <f t="shared" si="7"/>
        <v>1.8985000378093406E-2</v>
      </c>
      <c r="G90">
        <f>0.0058639</f>
        <v>5.8639E-3</v>
      </c>
      <c r="H90" s="1">
        <f t="shared" si="8"/>
        <v>5.8639E-3</v>
      </c>
      <c r="I90" s="1">
        <f t="shared" si="9"/>
        <v>3.9061319920999995E-4</v>
      </c>
      <c r="J90">
        <f t="shared" si="10"/>
        <v>1.8783806036345919E-2</v>
      </c>
      <c r="K90">
        <f t="shared" si="11"/>
        <v>8.1349510796333185E-9</v>
      </c>
      <c r="L90" s="1">
        <f t="shared" si="12"/>
        <v>5.7752951530119223E-3</v>
      </c>
      <c r="M90" s="1">
        <f t="shared" si="13"/>
        <v>7.8508189097806618E-9</v>
      </c>
    </row>
    <row r="91" spans="1:15" x14ac:dyDescent="0.25">
      <c r="A91" t="s">
        <v>13</v>
      </c>
      <c r="D91">
        <v>82</v>
      </c>
      <c r="E91">
        <f>0.018877</f>
        <v>1.8877000000000001E-2</v>
      </c>
      <c r="F91" s="1">
        <f t="shared" si="7"/>
        <v>1.8981948522372023E-2</v>
      </c>
      <c r="G91" s="1">
        <v>5.5442E-3</v>
      </c>
      <c r="H91" s="1">
        <f t="shared" si="8"/>
        <v>5.5442E-3</v>
      </c>
      <c r="I91" s="1">
        <f t="shared" si="9"/>
        <v>3.8707928264000008E-4</v>
      </c>
      <c r="J91">
        <f t="shared" si="10"/>
        <v>1.8867207635563359E-2</v>
      </c>
      <c r="K91">
        <f t="shared" si="11"/>
        <v>9.5890401260013133E-11</v>
      </c>
      <c r="L91" s="1">
        <f t="shared" si="12"/>
        <v>5.4796699512682095E-3</v>
      </c>
      <c r="M91" s="1">
        <f t="shared" si="13"/>
        <v>4.1641271893272501E-9</v>
      </c>
    </row>
    <row r="92" spans="1:15" x14ac:dyDescent="0.25">
      <c r="A92" t="s">
        <v>14</v>
      </c>
      <c r="D92">
        <v>92</v>
      </c>
      <c r="E92">
        <f>0.019045</f>
        <v>1.9044999999999999E-2</v>
      </c>
      <c r="F92" s="1">
        <f t="shared" si="7"/>
        <v>1.9145251088346579E-2</v>
      </c>
      <c r="G92">
        <f>0.0052501</f>
        <v>5.2500999999999997E-3</v>
      </c>
      <c r="H92" s="1">
        <f t="shared" si="8"/>
        <v>5.2500999999999997E-3</v>
      </c>
      <c r="I92" s="1">
        <f t="shared" si="9"/>
        <v>3.9027557500999994E-4</v>
      </c>
      <c r="J92">
        <f t="shared" si="10"/>
        <v>1.8946029278257785E-2</v>
      </c>
      <c r="K92">
        <f t="shared" si="11"/>
        <v>9.7952037621749313E-9</v>
      </c>
      <c r="L92" s="1">
        <f t="shared" si="12"/>
        <v>5.1827589621650317E-3</v>
      </c>
      <c r="M92" s="1">
        <f t="shared" si="13"/>
        <v>4.5348153766906017E-9</v>
      </c>
    </row>
    <row r="93" spans="1:15" x14ac:dyDescent="0.25">
      <c r="A93" t="s">
        <v>15</v>
      </c>
      <c r="D93">
        <v>102</v>
      </c>
      <c r="E93">
        <f>0.019109</f>
        <v>1.9109000000000001E-2</v>
      </c>
      <c r="F93" s="1">
        <f t="shared" si="7"/>
        <v>1.9203345876629307E-2</v>
      </c>
      <c r="G93">
        <f>0.0049251</f>
        <v>4.9251E-3</v>
      </c>
      <c r="H93" s="1">
        <f t="shared" si="8"/>
        <v>4.9251E-3</v>
      </c>
      <c r="I93" s="1">
        <f t="shared" si="9"/>
        <v>3.8941049101000005E-4</v>
      </c>
      <c r="J93">
        <f t="shared" si="10"/>
        <v>1.9020251830718288E-2</v>
      </c>
      <c r="K93">
        <f t="shared" si="11"/>
        <v>7.8762375508556316E-9</v>
      </c>
      <c r="L93" s="1">
        <f t="shared" si="12"/>
        <v>4.8846318549343112E-3</v>
      </c>
      <c r="M93" s="1">
        <f t="shared" si="13"/>
        <v>1.637670765057627E-9</v>
      </c>
    </row>
    <row r="94" spans="1:15" x14ac:dyDescent="0.25">
      <c r="A94" t="s">
        <v>16</v>
      </c>
      <c r="D94">
        <v>112</v>
      </c>
      <c r="E94">
        <f>0.01918</f>
        <v>1.9179999999999999E-2</v>
      </c>
      <c r="F94" s="1">
        <f t="shared" si="7"/>
        <v>1.9269111423536767E-2</v>
      </c>
      <c r="G94">
        <f>0.0046353</f>
        <v>4.6353000000000002E-3</v>
      </c>
      <c r="H94" s="1">
        <f t="shared" si="8"/>
        <v>4.6353000000000002E-3</v>
      </c>
      <c r="I94" s="1">
        <f t="shared" si="9"/>
        <v>3.8935840608999997E-4</v>
      </c>
      <c r="J94">
        <f t="shared" si="10"/>
        <v>1.9089857275648936E-2</v>
      </c>
      <c r="K94">
        <f t="shared" si="11"/>
        <v>8.1257107534317547E-9</v>
      </c>
      <c r="L94" s="1">
        <f t="shared" si="12"/>
        <v>4.585358584166266E-3</v>
      </c>
      <c r="M94" s="1">
        <f t="shared" si="13"/>
        <v>2.4941450154779532E-9</v>
      </c>
    </row>
    <row r="95" spans="1:15" x14ac:dyDescent="0.25">
      <c r="A95" t="s">
        <v>17</v>
      </c>
      <c r="D95">
        <v>122</v>
      </c>
      <c r="E95">
        <f>0.019259</f>
        <v>1.9258999999999998E-2</v>
      </c>
      <c r="F95" s="1">
        <f t="shared" si="7"/>
        <v>1.9342407862232354E-2</v>
      </c>
      <c r="G95">
        <f>0.0043215</f>
        <v>4.3214999999999998E-3</v>
      </c>
      <c r="H95" s="1">
        <f t="shared" si="8"/>
        <v>4.3214999999999998E-3</v>
      </c>
      <c r="I95" s="1">
        <f t="shared" si="9"/>
        <v>3.8958444324999997E-4</v>
      </c>
      <c r="J95">
        <f t="shared" si="10"/>
        <v>1.9154828716542432E-2</v>
      </c>
      <c r="K95">
        <f t="shared" si="11"/>
        <v>1.0851656297196683E-8</v>
      </c>
      <c r="L95" s="1">
        <f t="shared" si="12"/>
        <v>4.2850093733947979E-3</v>
      </c>
      <c r="M95" s="1">
        <f t="shared" si="13"/>
        <v>1.3315658300402678E-9</v>
      </c>
    </row>
    <row r="96" spans="1:15" x14ac:dyDescent="0.25">
      <c r="A96" t="s">
        <v>18</v>
      </c>
      <c r="D96">
        <v>132</v>
      </c>
      <c r="E96">
        <f>0.019298</f>
        <v>1.9297999999999999E-2</v>
      </c>
      <c r="F96" s="1">
        <f t="shared" si="7"/>
        <v>1.9375730225711804E-2</v>
      </c>
      <c r="G96">
        <f>0.0040198</f>
        <v>4.0197999999999996E-3</v>
      </c>
      <c r="H96" s="1">
        <f t="shared" si="8"/>
        <v>4.0197999999999996E-3</v>
      </c>
      <c r="I96" s="1">
        <f t="shared" si="9"/>
        <v>3.8857159603999995E-4</v>
      </c>
      <c r="J96">
        <f t="shared" si="10"/>
        <v>1.9215150381781679E-2</v>
      </c>
      <c r="K96">
        <f t="shared" si="11"/>
        <v>6.8640592389213328E-9</v>
      </c>
      <c r="L96" s="1">
        <f t="shared" si="12"/>
        <v>3.9836546986197589E-3</v>
      </c>
      <c r="M96" s="1">
        <f t="shared" si="13"/>
        <v>1.306482811868427E-9</v>
      </c>
    </row>
    <row r="97" spans="1:15" x14ac:dyDescent="0.25">
      <c r="A97" t="s">
        <v>19</v>
      </c>
      <c r="D97">
        <v>142</v>
      </c>
      <c r="E97">
        <f>0.019366</f>
        <v>1.9366000000000001E-2</v>
      </c>
      <c r="F97" s="1">
        <f t="shared" si="7"/>
        <v>1.9437637253529261E-2</v>
      </c>
      <c r="G97">
        <f>0.0036923</f>
        <v>3.6922999999999999E-3</v>
      </c>
      <c r="H97" s="1">
        <f t="shared" si="8"/>
        <v>3.6922999999999999E-3</v>
      </c>
      <c r="I97" s="1">
        <f t="shared" si="9"/>
        <v>3.8867503529000004E-4</v>
      </c>
      <c r="J97">
        <f t="shared" si="10"/>
        <v>1.9270807628468296E-2</v>
      </c>
      <c r="K97">
        <f t="shared" si="11"/>
        <v>9.0615875978302734E-9</v>
      </c>
      <c r="L97" s="1">
        <f t="shared" si="12"/>
        <v>3.6813652717699501E-3</v>
      </c>
      <c r="M97" s="1">
        <f t="shared" si="13"/>
        <v>1.195682814650484E-10</v>
      </c>
    </row>
    <row r="98" spans="1:15" x14ac:dyDescent="0.25">
      <c r="A98" t="s">
        <v>20</v>
      </c>
      <c r="D98">
        <v>152</v>
      </c>
      <c r="E98">
        <f>0.019422</f>
        <v>1.9421999999999998E-2</v>
      </c>
      <c r="F98" s="1">
        <f t="shared" si="7"/>
        <v>1.9487870456770001E-2</v>
      </c>
      <c r="G98">
        <f>0.0033858</f>
        <v>3.3858E-3</v>
      </c>
      <c r="H98" s="1">
        <f t="shared" si="8"/>
        <v>3.3858E-3</v>
      </c>
      <c r="I98" s="1">
        <f t="shared" si="9"/>
        <v>3.8867772563999994E-4</v>
      </c>
      <c r="J98">
        <f t="shared" si="10"/>
        <v>1.9321786945977124E-2</v>
      </c>
      <c r="K98">
        <f t="shared" si="11"/>
        <v>1.0042656196591614E-8</v>
      </c>
      <c r="L98" s="1">
        <f t="shared" si="12"/>
        <v>3.3782120241108399E-3</v>
      </c>
      <c r="M98" s="1">
        <f t="shared" si="13"/>
        <v>5.7577378094475802E-11</v>
      </c>
      <c r="O98" t="s">
        <v>51</v>
      </c>
    </row>
    <row r="99" spans="1:15" x14ac:dyDescent="0.25">
      <c r="A99" t="s">
        <v>21</v>
      </c>
      <c r="D99">
        <v>252</v>
      </c>
      <c r="E99">
        <f>0.019697</f>
        <v>1.9696999999999999E-2</v>
      </c>
      <c r="F99" s="1">
        <f t="shared" si="7"/>
        <v>1.9701121043446117E-2</v>
      </c>
      <c r="G99" s="1">
        <v>2.0919999999999999E-4</v>
      </c>
      <c r="H99" s="1">
        <f t="shared" si="8"/>
        <v>2.0919999999999999E-4</v>
      </c>
      <c r="I99" s="1">
        <f t="shared" si="9"/>
        <v>3.8801557363999999E-4</v>
      </c>
      <c r="J99">
        <f t="shared" si="10"/>
        <v>1.9572136989915966E-2</v>
      </c>
      <c r="K99">
        <f t="shared" si="11"/>
        <v>1.5590771287245492E-8</v>
      </c>
      <c r="L99" s="1">
        <f t="shared" si="12"/>
        <v>3.1489765686652544E-4</v>
      </c>
      <c r="M99" s="1">
        <f t="shared" si="13"/>
        <v>1.1171994667073754E-8</v>
      </c>
      <c r="O99" t="s">
        <v>53</v>
      </c>
    </row>
    <row r="100" spans="1:15" x14ac:dyDescent="0.25">
      <c r="A100" t="s">
        <v>22</v>
      </c>
      <c r="D100">
        <v>352</v>
      </c>
      <c r="E100">
        <f>0.019461</f>
        <v>1.9460999999999999E-2</v>
      </c>
      <c r="F100" s="1">
        <f t="shared" si="7"/>
        <v>1.9403090604652288E-2</v>
      </c>
      <c r="G100" s="1">
        <v>-2.9800999999999998E-3</v>
      </c>
      <c r="H100" s="1">
        <f t="shared" si="8"/>
        <v>-2.9800999999999998E-3</v>
      </c>
      <c r="I100" s="1">
        <f t="shared" si="9"/>
        <v>3.8761151700999997E-4</v>
      </c>
      <c r="J100">
        <f t="shared" si="10"/>
        <v>1.9348330179824499E-2</v>
      </c>
      <c r="K100">
        <f t="shared" si="11"/>
        <v>1.2694488378379439E-8</v>
      </c>
      <c r="L100" s="1">
        <f t="shared" si="12"/>
        <v>-2.7557913919732118E-3</v>
      </c>
      <c r="M100" s="1">
        <f t="shared" si="13"/>
        <v>5.0314351634915263E-8</v>
      </c>
    </row>
    <row r="101" spans="1:15" x14ac:dyDescent="0.25">
      <c r="A101" t="s">
        <v>24</v>
      </c>
      <c r="D101">
        <v>452</v>
      </c>
      <c r="E101">
        <f>0.018742</f>
        <v>1.8742000000000002E-2</v>
      </c>
      <c r="F101" s="1">
        <f t="shared" si="7"/>
        <v>1.8628526613207737E-2</v>
      </c>
      <c r="G101" s="1">
        <f>-0.0060729</f>
        <v>-6.0729E-3</v>
      </c>
      <c r="H101" s="1">
        <f t="shared" si="8"/>
        <v>-6.0729E-3</v>
      </c>
      <c r="I101" s="1">
        <f t="shared" si="9"/>
        <v>3.8814267841000006E-4</v>
      </c>
      <c r="J101">
        <f t="shared" si="10"/>
        <v>1.8655788485364914E-2</v>
      </c>
      <c r="K101">
        <f t="shared" si="11"/>
        <v>7.4324252556758634E-9</v>
      </c>
      <c r="L101" s="1">
        <f t="shared" si="12"/>
        <v>-5.7619417450937137E-3</v>
      </c>
      <c r="M101" s="1">
        <f t="shared" si="13"/>
        <v>9.6695036294362893E-8</v>
      </c>
    </row>
    <row r="102" spans="1:15" x14ac:dyDescent="0.25">
      <c r="A102" t="s">
        <v>23</v>
      </c>
      <c r="D102">
        <v>552</v>
      </c>
      <c r="E102">
        <f>0.01758</f>
        <v>1.7579999999999998E-2</v>
      </c>
      <c r="F102" s="1">
        <f t="shared" si="7"/>
        <v>1.7422385324201744E-2</v>
      </c>
      <c r="G102">
        <f>-0.009006</f>
        <v>-9.0060000000000001E-3</v>
      </c>
      <c r="H102" s="1">
        <f t="shared" si="8"/>
        <v>-9.0060000000000001E-3</v>
      </c>
      <c r="I102" s="1">
        <f t="shared" si="9"/>
        <v>3.9016443599999997E-4</v>
      </c>
      <c r="J102">
        <f t="shared" si="10"/>
        <v>1.7511289501712383E-2</v>
      </c>
      <c r="K102">
        <f t="shared" si="11"/>
        <v>4.7211325749324311E-9</v>
      </c>
      <c r="L102" s="1">
        <f t="shared" si="12"/>
        <v>-8.6331514760315184E-3</v>
      </c>
      <c r="M102" s="1">
        <f t="shared" si="13"/>
        <v>1.3901602182547548E-7</v>
      </c>
    </row>
    <row r="103" spans="1:15" x14ac:dyDescent="0.25">
      <c r="A103" t="s">
        <v>25</v>
      </c>
      <c r="D103">
        <v>602</v>
      </c>
      <c r="E103">
        <f>0.016851</f>
        <v>1.6851000000000001E-2</v>
      </c>
      <c r="F103" s="1">
        <f t="shared" si="7"/>
        <v>1.6677608347679829E-2</v>
      </c>
      <c r="G103">
        <f>-0.010343</f>
        <v>-1.0343E-2</v>
      </c>
      <c r="H103" s="1">
        <f t="shared" si="8"/>
        <v>-1.0343E-2</v>
      </c>
      <c r="I103" s="1">
        <f t="shared" si="9"/>
        <v>3.9093385000000007E-4</v>
      </c>
      <c r="J103">
        <f t="shared" si="10"/>
        <v>1.6777809555301452E-2</v>
      </c>
      <c r="K103">
        <f t="shared" si="11"/>
        <v>5.3568411951714434E-9</v>
      </c>
      <c r="L103" s="1">
        <f t="shared" si="12"/>
        <v>-9.996973396512971E-3</v>
      </c>
      <c r="M103" s="1">
        <f t="shared" si="13"/>
        <v>1.197344103207694E-7</v>
      </c>
    </row>
    <row r="104" spans="1:15" x14ac:dyDescent="0.25">
      <c r="A104" t="s">
        <v>28</v>
      </c>
      <c r="D104">
        <v>902</v>
      </c>
      <c r="E104">
        <f>0.010425</f>
        <v>1.0425E-2</v>
      </c>
      <c r="F104" s="1">
        <f t="shared" si="7"/>
        <v>1.0250431145596973E-2</v>
      </c>
      <c r="G104">
        <f>-0.016887</f>
        <v>-1.6886999999999999E-2</v>
      </c>
      <c r="H104" s="1">
        <f t="shared" si="8"/>
        <v>-1.6886999999999999E-2</v>
      </c>
      <c r="I104" s="1">
        <f t="shared" si="9"/>
        <v>3.9385139399999996E-4</v>
      </c>
      <c r="J104">
        <f t="shared" si="10"/>
        <v>1.0436878652521872E-2</v>
      </c>
      <c r="K104">
        <f t="shared" si="11"/>
        <v>1.4110238573536401E-10</v>
      </c>
      <c r="L104" s="1">
        <f t="shared" si="12"/>
        <v>-1.6695582091635932E-2</v>
      </c>
      <c r="M104" s="1">
        <f t="shared" si="13"/>
        <v>3.6640815642474458E-8</v>
      </c>
    </row>
    <row r="105" spans="1:15" x14ac:dyDescent="0.25">
      <c r="A105" t="s">
        <v>32</v>
      </c>
      <c r="D105">
        <v>1202</v>
      </c>
      <c r="E105">
        <f>0.0019038</f>
        <v>1.9038E-3</v>
      </c>
      <c r="F105" s="1">
        <f t="shared" si="7"/>
        <v>1.8662011402808022E-3</v>
      </c>
      <c r="G105">
        <f>-0.019947</f>
        <v>-1.9946999999999999E-2</v>
      </c>
      <c r="H105" s="1">
        <f t="shared" si="8"/>
        <v>-1.9946999999999999E-2</v>
      </c>
      <c r="I105" s="1">
        <f t="shared" si="9"/>
        <v>4.0150726343999996E-4</v>
      </c>
      <c r="J105">
        <f t="shared" si="10"/>
        <v>1.8569468089372025E-3</v>
      </c>
      <c r="K105">
        <f t="shared" si="11"/>
        <v>2.195221512767002E-9</v>
      </c>
      <c r="L105" s="1">
        <f t="shared" si="12"/>
        <v>-1.9929928751220648E-2</v>
      </c>
      <c r="M105" s="1">
        <f t="shared" si="13"/>
        <v>2.9142753488651803E-10</v>
      </c>
    </row>
    <row r="106" spans="1:15" x14ac:dyDescent="0.25">
      <c r="A106" t="s">
        <v>31</v>
      </c>
      <c r="D106">
        <v>1502</v>
      </c>
      <c r="E106">
        <f>-0.0068927</f>
        <v>-6.8926999999999999E-3</v>
      </c>
      <c r="F106" s="1">
        <f t="shared" si="7"/>
        <v>-6.7645644760109458E-3</v>
      </c>
      <c r="G106">
        <f>-0.018765</f>
        <v>-1.8765E-2</v>
      </c>
      <c r="H106" s="1">
        <f t="shared" si="8"/>
        <v>-1.8765E-2</v>
      </c>
      <c r="I106" s="1">
        <f t="shared" si="9"/>
        <v>3.9963453829000003E-4</v>
      </c>
      <c r="J106">
        <f t="shared" si="10"/>
        <v>-7.1213518060413913E-3</v>
      </c>
      <c r="K106">
        <f t="shared" si="11"/>
        <v>5.2281648405990103E-8</v>
      </c>
      <c r="L106" s="1">
        <f t="shared" si="12"/>
        <v>-1.9028900245993099E-2</v>
      </c>
      <c r="M106" s="1">
        <f t="shared" si="13"/>
        <v>6.9643339835217826E-8</v>
      </c>
    </row>
    <row r="107" spans="1:15" x14ac:dyDescent="0.25">
      <c r="A107" t="s">
        <v>33</v>
      </c>
      <c r="D107">
        <v>1702</v>
      </c>
      <c r="E107">
        <f>-0.011979</f>
        <v>-1.1979E-2</v>
      </c>
      <c r="F107" s="1">
        <f t="shared" si="7"/>
        <v>-1.1791360670447663E-2</v>
      </c>
      <c r="G107">
        <f>-0.015788</f>
        <v>-1.5788E-2</v>
      </c>
      <c r="H107" s="1">
        <f t="shared" si="8"/>
        <v>-1.5788E-2</v>
      </c>
      <c r="I107" s="1">
        <f t="shared" si="9"/>
        <v>3.9275738499999996E-4</v>
      </c>
      <c r="J107">
        <f t="shared" si="10"/>
        <v>-1.2367803978271268E-2</v>
      </c>
      <c r="K107">
        <f t="shared" si="11"/>
        <v>1.5116853351956455E-7</v>
      </c>
      <c r="L107" s="1">
        <f t="shared" si="12"/>
        <v>-1.6187761740600562E-2</v>
      </c>
      <c r="M107" s="1">
        <f t="shared" si="13"/>
        <v>1.5980944924799101E-7</v>
      </c>
    </row>
    <row r="108" spans="1:15" x14ac:dyDescent="0.25">
      <c r="A108" t="s">
        <v>34</v>
      </c>
      <c r="D108">
        <v>2202</v>
      </c>
      <c r="E108">
        <f>-0.018603</f>
        <v>-1.8603000000000001E-2</v>
      </c>
      <c r="F108" s="1">
        <f t="shared" si="7"/>
        <v>-1.8545256796141666E-2</v>
      </c>
      <c r="G108">
        <f>-0.0031088</f>
        <v>-3.1088000000000001E-3</v>
      </c>
      <c r="H108" s="1">
        <f t="shared" si="8"/>
        <v>-3.1088000000000001E-3</v>
      </c>
      <c r="I108" s="1">
        <f t="shared" si="9"/>
        <v>3.5573624644000002E-4</v>
      </c>
      <c r="J108">
        <f t="shared" si="10"/>
        <v>-1.9458782358244955E-2</v>
      </c>
      <c r="K108">
        <f t="shared" si="11"/>
        <v>7.3236344468329462E-7</v>
      </c>
      <c r="L108" s="1">
        <f t="shared" si="12"/>
        <v>-3.4046358905127907E-3</v>
      </c>
      <c r="M108" s="1">
        <f t="shared" si="13"/>
        <v>8.7518874115495838E-8</v>
      </c>
    </row>
    <row r="109" spans="1:15" x14ac:dyDescent="0.25">
      <c r="A109" t="s">
        <v>35</v>
      </c>
      <c r="D109">
        <v>2702</v>
      </c>
      <c r="E109">
        <f>-0.014663</f>
        <v>-1.4663000000000001E-2</v>
      </c>
      <c r="F109" s="1">
        <f t="shared" si="7"/>
        <v>-1.4817298473221741E-2</v>
      </c>
      <c r="G109">
        <f>0.010468</f>
        <v>1.0468E-2</v>
      </c>
      <c r="H109" s="1">
        <f t="shared" si="8"/>
        <v>1.0468E-2</v>
      </c>
      <c r="I109" s="1">
        <f t="shared" si="9"/>
        <v>3.2458259300000003E-4</v>
      </c>
      <c r="J109">
        <f t="shared" si="10"/>
        <v>-1.532589877294855E-2</v>
      </c>
      <c r="K109">
        <f t="shared" si="11"/>
        <v>4.3943478317669223E-7</v>
      </c>
      <c r="L109" s="1">
        <f t="shared" si="12"/>
        <v>1.1279998855168494E-2</v>
      </c>
      <c r="M109" s="1">
        <f t="shared" si="13"/>
        <v>6.5934214079494588E-7</v>
      </c>
    </row>
    <row r="110" spans="1:15" x14ac:dyDescent="0.25">
      <c r="K110">
        <f>SUM(K83:K109)</f>
        <v>1.538040288904924E-6</v>
      </c>
      <c r="M110" s="1">
        <f>SUM(M83:M109)</f>
        <v>1.5990387560928757E-6</v>
      </c>
    </row>
  </sheetData>
  <mergeCells count="2">
    <mergeCell ref="N82:O82"/>
    <mergeCell ref="N86:O8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36C2-9281-457B-AA85-E812D5DC509E}">
  <dimension ref="A1:P164"/>
  <sheetViews>
    <sheetView workbookViewId="0">
      <selection activeCell="K11" sqref="K11"/>
    </sheetView>
  </sheetViews>
  <sheetFormatPr defaultRowHeight="15" x14ac:dyDescent="0.25"/>
  <cols>
    <col min="3" max="3" width="12" style="2" bestFit="1" customWidth="1"/>
    <col min="4" max="4" width="12" bestFit="1" customWidth="1"/>
    <col min="5" max="5" width="12" customWidth="1"/>
    <col min="6" max="6" width="12" bestFit="1" customWidth="1"/>
    <col min="8" max="8" width="12" bestFit="1" customWidth="1"/>
    <col min="16" max="16" width="12" bestFit="1" customWidth="1"/>
  </cols>
  <sheetData>
    <row r="1" spans="1:14" x14ac:dyDescent="0.25">
      <c r="A1">
        <v>4</v>
      </c>
      <c r="B1">
        <v>5.8001733154399403E-4</v>
      </c>
      <c r="C1" s="3"/>
      <c r="M1">
        <v>2</v>
      </c>
      <c r="N1">
        <v>5.8770921107485503E-4</v>
      </c>
    </row>
    <row r="2" spans="1:14" x14ac:dyDescent="0.25">
      <c r="A2">
        <v>5</v>
      </c>
      <c r="B2">
        <v>5.81150415442476E-4</v>
      </c>
      <c r="C2" s="3"/>
      <c r="M2">
        <v>102</v>
      </c>
      <c r="N2">
        <v>5.2600098611054803E-4</v>
      </c>
    </row>
    <row r="3" spans="1:14" x14ac:dyDescent="0.25">
      <c r="A3">
        <v>6</v>
      </c>
      <c r="B3">
        <v>5.8033509425916999E-4</v>
      </c>
      <c r="C3" s="3"/>
      <c r="M3">
        <v>202</v>
      </c>
      <c r="N3">
        <v>4.6647046427471402E-4</v>
      </c>
    </row>
    <row r="4" spans="1:14" x14ac:dyDescent="0.25">
      <c r="A4">
        <v>7</v>
      </c>
      <c r="B4">
        <v>5.7978181219790802E-4</v>
      </c>
      <c r="C4" s="3"/>
      <c r="M4">
        <v>302</v>
      </c>
      <c r="N4">
        <v>4.1178354795567198E-4</v>
      </c>
    </row>
    <row r="5" spans="1:14" x14ac:dyDescent="0.25">
      <c r="A5">
        <v>8</v>
      </c>
      <c r="B5">
        <v>5.79492900143577E-4</v>
      </c>
      <c r="C5" s="3"/>
      <c r="M5">
        <v>402</v>
      </c>
      <c r="N5">
        <v>3.61015696046953E-4</v>
      </c>
    </row>
    <row r="6" spans="1:14" x14ac:dyDescent="0.25">
      <c r="A6">
        <v>9</v>
      </c>
      <c r="B6">
        <v>5.7875554804798896E-4</v>
      </c>
      <c r="C6" s="3"/>
      <c r="G6" s="4"/>
      <c r="M6">
        <v>502</v>
      </c>
      <c r="N6">
        <v>3.1503460999858502E-4</v>
      </c>
    </row>
    <row r="7" spans="1:14" x14ac:dyDescent="0.25">
      <c r="A7">
        <v>10</v>
      </c>
      <c r="B7">
        <v>5.7803744523658501E-4</v>
      </c>
      <c r="C7" s="3"/>
      <c r="G7" s="4"/>
      <c r="M7">
        <v>602</v>
      </c>
      <c r="N7">
        <v>2.7148007139882299E-4</v>
      </c>
    </row>
    <row r="8" spans="1:14" x14ac:dyDescent="0.25">
      <c r="A8">
        <v>11</v>
      </c>
      <c r="B8">
        <v>5.7730598793659599E-4</v>
      </c>
      <c r="C8" s="3"/>
      <c r="H8" s="4"/>
      <c r="M8">
        <v>702</v>
      </c>
      <c r="N8">
        <v>2.3209333764202101E-4</v>
      </c>
    </row>
    <row r="9" spans="1:14" x14ac:dyDescent="0.25">
      <c r="A9">
        <v>12</v>
      </c>
      <c r="B9">
        <v>5.7659643598773698E-4</v>
      </c>
      <c r="C9" s="3"/>
      <c r="M9">
        <v>802</v>
      </c>
      <c r="N9">
        <v>1.96627296506822E-4</v>
      </c>
    </row>
    <row r="10" spans="1:14" x14ac:dyDescent="0.25">
      <c r="A10">
        <v>13</v>
      </c>
      <c r="B10">
        <v>5.76258260791675E-4</v>
      </c>
      <c r="C10" s="3"/>
      <c r="M10">
        <v>902</v>
      </c>
      <c r="N10">
        <v>1.6459551162402501E-4</v>
      </c>
    </row>
    <row r="11" spans="1:14" x14ac:dyDescent="0.25">
      <c r="A11">
        <v>14</v>
      </c>
      <c r="B11">
        <v>5.7569311325493696E-4</v>
      </c>
      <c r="C11" s="3"/>
      <c r="M11">
        <v>1002</v>
      </c>
      <c r="N11">
        <v>1.37594687234035E-4</v>
      </c>
    </row>
    <row r="12" spans="1:14" x14ac:dyDescent="0.25">
      <c r="A12">
        <v>15</v>
      </c>
      <c r="B12">
        <v>5.7503074697609505E-4</v>
      </c>
      <c r="C12" s="3"/>
      <c r="M12">
        <v>1102</v>
      </c>
      <c r="N12">
        <v>1.13468415680007E-4</v>
      </c>
    </row>
    <row r="13" spans="1:14" x14ac:dyDescent="0.25">
      <c r="A13">
        <v>16</v>
      </c>
      <c r="B13">
        <v>5.7526039950982395E-4</v>
      </c>
      <c r="C13" s="3"/>
      <c r="M13">
        <v>1202</v>
      </c>
      <c r="N13" s="1">
        <v>9.2958880383785798E-5</v>
      </c>
    </row>
    <row r="14" spans="1:14" x14ac:dyDescent="0.25">
      <c r="A14">
        <v>17</v>
      </c>
      <c r="B14">
        <v>5.74159947291795E-4</v>
      </c>
      <c r="C14" s="3"/>
      <c r="M14">
        <v>1302</v>
      </c>
      <c r="N14" s="1">
        <v>7.5989204847917594E-5</v>
      </c>
    </row>
    <row r="15" spans="1:14" x14ac:dyDescent="0.25">
      <c r="A15">
        <v>18</v>
      </c>
      <c r="B15">
        <v>5.7344084514703399E-4</v>
      </c>
      <c r="C15" s="3"/>
      <c r="M15">
        <v>1402</v>
      </c>
      <c r="N15" s="1">
        <v>6.1932776774197796E-5</v>
      </c>
    </row>
    <row r="16" spans="1:14" x14ac:dyDescent="0.25">
      <c r="A16">
        <v>19</v>
      </c>
      <c r="B16">
        <v>5.7296387421754895E-4</v>
      </c>
      <c r="C16" s="3"/>
      <c r="M16">
        <v>1502</v>
      </c>
      <c r="N16" s="1">
        <v>5.0768945921197801E-5</v>
      </c>
    </row>
    <row r="17" spans="1:16" x14ac:dyDescent="0.25">
      <c r="A17">
        <v>20</v>
      </c>
      <c r="B17">
        <v>5.7325902519734704E-4</v>
      </c>
      <c r="C17" s="3"/>
      <c r="M17">
        <v>1602</v>
      </c>
      <c r="N17" s="1">
        <v>4.1519281561702603E-5</v>
      </c>
      <c r="P17">
        <f>SQRT(1.054E-34/2/PI()/(1.14E-26)/(120000000000))</f>
        <v>1.1073561515324142E-10</v>
      </c>
    </row>
    <row r="18" spans="1:16" x14ac:dyDescent="0.25">
      <c r="A18">
        <v>21</v>
      </c>
      <c r="B18">
        <v>5.6869041220905297E-4</v>
      </c>
      <c r="C18" s="3"/>
      <c r="M18">
        <v>1702</v>
      </c>
      <c r="N18" s="1">
        <v>3.4798660348758199E-5</v>
      </c>
    </row>
    <row r="19" spans="1:16" x14ac:dyDescent="0.25">
      <c r="A19">
        <v>22</v>
      </c>
      <c r="B19">
        <v>5.6811944704586003E-4</v>
      </c>
      <c r="C19" s="3"/>
      <c r="M19">
        <v>1802</v>
      </c>
      <c r="N19" s="1">
        <v>2.9076896569207799E-5</v>
      </c>
    </row>
    <row r="20" spans="1:16" x14ac:dyDescent="0.25">
      <c r="A20">
        <v>23</v>
      </c>
      <c r="B20">
        <v>5.7150608875187895E-4</v>
      </c>
      <c r="C20" s="3"/>
      <c r="M20">
        <v>1902</v>
      </c>
      <c r="N20" s="1">
        <v>2.4716244826248401E-5</v>
      </c>
    </row>
    <row r="21" spans="1:16" x14ac:dyDescent="0.25">
      <c r="A21">
        <v>24</v>
      </c>
      <c r="B21">
        <v>5.70463720834095E-4</v>
      </c>
      <c r="C21" s="3"/>
      <c r="M21">
        <v>2002</v>
      </c>
      <c r="N21" s="1">
        <v>2.15205763638132E-5</v>
      </c>
    </row>
    <row r="22" spans="1:16" x14ac:dyDescent="0.25">
      <c r="A22">
        <v>25</v>
      </c>
      <c r="B22">
        <v>5.7001723806796305E-4</v>
      </c>
      <c r="C22" s="3"/>
      <c r="M22">
        <v>2102</v>
      </c>
      <c r="N22" s="1">
        <v>1.8930250974854201E-5</v>
      </c>
    </row>
    <row r="23" spans="1:16" x14ac:dyDescent="0.25">
      <c r="A23">
        <v>26</v>
      </c>
      <c r="B23">
        <v>5.6908941896578399E-4</v>
      </c>
      <c r="C23" s="3"/>
      <c r="M23">
        <v>2202</v>
      </c>
      <c r="N23" s="1">
        <v>1.6804249819676498E-5</v>
      </c>
    </row>
    <row r="24" spans="1:16" x14ac:dyDescent="0.25">
      <c r="A24">
        <v>27</v>
      </c>
      <c r="B24">
        <v>5.6867416834022199E-4</v>
      </c>
      <c r="C24" s="3"/>
      <c r="M24">
        <v>2302</v>
      </c>
      <c r="N24" s="1">
        <v>1.5025962385186401E-5</v>
      </c>
    </row>
    <row r="25" spans="1:16" x14ac:dyDescent="0.25">
      <c r="A25">
        <v>28</v>
      </c>
      <c r="B25">
        <v>5.6804936393354904E-4</v>
      </c>
      <c r="C25" s="3"/>
      <c r="M25">
        <v>2402</v>
      </c>
      <c r="N25" s="1">
        <v>1.36090000505961E-5</v>
      </c>
    </row>
    <row r="26" spans="1:16" x14ac:dyDescent="0.25">
      <c r="A26">
        <v>29</v>
      </c>
      <c r="B26">
        <v>5.6822205841821098E-4</v>
      </c>
      <c r="C26" s="3"/>
      <c r="M26">
        <v>2502</v>
      </c>
      <c r="N26" s="1">
        <v>1.2312899887880301E-5</v>
      </c>
    </row>
    <row r="27" spans="1:16" x14ac:dyDescent="0.25">
      <c r="A27">
        <v>30</v>
      </c>
      <c r="B27">
        <v>5.67270439746916E-4</v>
      </c>
      <c r="C27" s="3"/>
      <c r="M27">
        <v>2602</v>
      </c>
      <c r="N27" s="1">
        <v>1.1272401021021599E-5</v>
      </c>
    </row>
    <row r="28" spans="1:16" x14ac:dyDescent="0.25">
      <c r="A28">
        <v>31</v>
      </c>
      <c r="B28">
        <v>5.6682774325824998E-4</v>
      </c>
      <c r="C28" s="3"/>
    </row>
    <row r="29" spans="1:16" x14ac:dyDescent="0.25">
      <c r="A29">
        <v>32</v>
      </c>
      <c r="B29">
        <v>5.6596166911512997E-4</v>
      </c>
      <c r="C29" s="3"/>
    </row>
    <row r="30" spans="1:16" x14ac:dyDescent="0.25">
      <c r="A30">
        <v>33</v>
      </c>
      <c r="B30">
        <v>5.6538612470827395E-4</v>
      </c>
      <c r="C30" s="3"/>
    </row>
    <row r="31" spans="1:16" x14ac:dyDescent="0.25">
      <c r="A31">
        <v>34</v>
      </c>
      <c r="B31">
        <v>5.6440474179745496E-4</v>
      </c>
      <c r="C31" s="3"/>
    </row>
    <row r="32" spans="1:16" x14ac:dyDescent="0.25">
      <c r="A32">
        <v>35</v>
      </c>
      <c r="B32">
        <v>5.6281361390389604E-4</v>
      </c>
      <c r="C32" s="3"/>
    </row>
    <row r="33" spans="1:3" x14ac:dyDescent="0.25">
      <c r="A33">
        <v>36</v>
      </c>
      <c r="B33">
        <v>5.6191635239640696E-4</v>
      </c>
      <c r="C33" s="3"/>
    </row>
    <row r="34" spans="1:3" x14ac:dyDescent="0.25">
      <c r="A34">
        <v>37</v>
      </c>
      <c r="B34">
        <v>5.6105143628236995E-4</v>
      </c>
      <c r="C34" s="3"/>
    </row>
    <row r="35" spans="1:3" x14ac:dyDescent="0.25">
      <c r="A35">
        <v>38</v>
      </c>
      <c r="B35">
        <v>5.6058404255674105E-4</v>
      </c>
      <c r="C35" s="3"/>
    </row>
    <row r="36" spans="1:3" x14ac:dyDescent="0.25">
      <c r="A36">
        <v>39</v>
      </c>
      <c r="B36">
        <v>5.6044640187048495E-4</v>
      </c>
      <c r="C36" s="3"/>
    </row>
    <row r="37" spans="1:3" x14ac:dyDescent="0.25">
      <c r="A37">
        <v>40</v>
      </c>
      <c r="B37">
        <v>5.5990499937381305E-4</v>
      </c>
      <c r="C37" s="3"/>
    </row>
    <row r="38" spans="1:3" x14ac:dyDescent="0.25">
      <c r="A38">
        <v>41</v>
      </c>
      <c r="B38">
        <v>5.5861367302822702E-4</v>
      </c>
      <c r="C38" s="3"/>
    </row>
    <row r="39" spans="1:3" x14ac:dyDescent="0.25">
      <c r="A39">
        <v>42</v>
      </c>
      <c r="B39">
        <v>5.5852188224839801E-4</v>
      </c>
      <c r="C39" s="3"/>
    </row>
    <row r="40" spans="1:3" x14ac:dyDescent="0.25">
      <c r="A40">
        <v>43</v>
      </c>
      <c r="B40">
        <v>5.5806785783205201E-4</v>
      </c>
      <c r="C40" s="3"/>
    </row>
    <row r="41" spans="1:3" x14ac:dyDescent="0.25">
      <c r="A41">
        <v>44</v>
      </c>
      <c r="B41">
        <v>5.5541016973057096E-4</v>
      </c>
      <c r="C41" s="3"/>
    </row>
    <row r="42" spans="1:3" x14ac:dyDescent="0.25">
      <c r="A42">
        <v>45</v>
      </c>
      <c r="B42">
        <v>5.5426938186570196E-4</v>
      </c>
      <c r="C42" s="3"/>
    </row>
    <row r="43" spans="1:3" x14ac:dyDescent="0.25">
      <c r="A43">
        <v>46</v>
      </c>
      <c r="B43">
        <v>5.5290574094080201E-4</v>
      </c>
      <c r="C43" s="3"/>
    </row>
    <row r="44" spans="1:3" x14ac:dyDescent="0.25">
      <c r="A44">
        <v>47</v>
      </c>
      <c r="B44">
        <v>5.5215846610719599E-4</v>
      </c>
      <c r="C44" s="3"/>
    </row>
    <row r="45" spans="1:3" x14ac:dyDescent="0.25">
      <c r="A45">
        <v>48</v>
      </c>
      <c r="B45">
        <v>5.5207961821804297E-4</v>
      </c>
      <c r="C45" s="3"/>
    </row>
    <row r="46" spans="1:3" x14ac:dyDescent="0.25">
      <c r="A46">
        <v>49</v>
      </c>
      <c r="B46">
        <v>5.5115109019509298E-4</v>
      </c>
      <c r="C46" s="3"/>
    </row>
    <row r="47" spans="1:3" x14ac:dyDescent="0.25">
      <c r="A47">
        <v>50</v>
      </c>
      <c r="B47">
        <v>5.5072561070080997E-4</v>
      </c>
      <c r="C47" s="3"/>
    </row>
    <row r="48" spans="1:3" x14ac:dyDescent="0.25">
      <c r="A48">
        <v>51</v>
      </c>
      <c r="B48">
        <v>5.4976275950136704E-4</v>
      </c>
      <c r="C48" s="3"/>
    </row>
    <row r="49" spans="1:3" x14ac:dyDescent="0.25">
      <c r="A49">
        <v>52</v>
      </c>
      <c r="B49">
        <v>5.4936091632118997E-4</v>
      </c>
      <c r="C49" s="3"/>
    </row>
    <row r="50" spans="1:3" x14ac:dyDescent="0.25">
      <c r="A50">
        <v>53</v>
      </c>
      <c r="B50">
        <v>5.4880809289621797E-4</v>
      </c>
      <c r="C50" s="3"/>
    </row>
    <row r="51" spans="1:3" x14ac:dyDescent="0.25">
      <c r="A51">
        <v>54</v>
      </c>
      <c r="B51">
        <v>5.4822155497740496E-4</v>
      </c>
      <c r="C51" s="3"/>
    </row>
    <row r="52" spans="1:3" x14ac:dyDescent="0.25">
      <c r="A52">
        <v>55</v>
      </c>
      <c r="B52">
        <v>5.4730936950507503E-4</v>
      </c>
      <c r="C52" s="3"/>
    </row>
    <row r="53" spans="1:3" x14ac:dyDescent="0.25">
      <c r="A53">
        <v>56</v>
      </c>
      <c r="B53">
        <v>5.4599643397493496E-4</v>
      </c>
      <c r="C53" s="3"/>
    </row>
    <row r="54" spans="1:3" x14ac:dyDescent="0.25">
      <c r="A54">
        <v>57</v>
      </c>
      <c r="B54">
        <v>5.4554687447249599E-4</v>
      </c>
      <c r="C54" s="3"/>
    </row>
    <row r="55" spans="1:3" x14ac:dyDescent="0.25">
      <c r="A55">
        <v>58</v>
      </c>
      <c r="B55">
        <v>5.4464671504429599E-4</v>
      </c>
      <c r="C55" s="3"/>
    </row>
    <row r="56" spans="1:3" x14ac:dyDescent="0.25">
      <c r="A56">
        <v>59</v>
      </c>
      <c r="B56">
        <v>5.4402766517427795E-4</v>
      </c>
      <c r="C56" s="3"/>
    </row>
    <row r="57" spans="1:3" x14ac:dyDescent="0.25">
      <c r="A57">
        <v>60</v>
      </c>
      <c r="B57">
        <v>5.4337577415760599E-4</v>
      </c>
      <c r="C57" s="3"/>
    </row>
    <row r="58" spans="1:3" x14ac:dyDescent="0.25">
      <c r="A58">
        <v>61</v>
      </c>
      <c r="B58">
        <v>5.4308725363454895E-4</v>
      </c>
      <c r="C58" s="3"/>
    </row>
    <row r="59" spans="1:3" x14ac:dyDescent="0.25">
      <c r="A59">
        <v>62</v>
      </c>
      <c r="B59">
        <v>5.4253315233906399E-4</v>
      </c>
      <c r="C59" s="3"/>
    </row>
    <row r="60" spans="1:3" x14ac:dyDescent="0.25">
      <c r="A60">
        <v>63</v>
      </c>
      <c r="B60">
        <v>5.4238350758204997E-4</v>
      </c>
      <c r="C60" s="3"/>
    </row>
    <row r="61" spans="1:3" x14ac:dyDescent="0.25">
      <c r="A61">
        <v>64</v>
      </c>
      <c r="B61">
        <v>5.4120921532755501E-4</v>
      </c>
      <c r="C61" s="3"/>
    </row>
    <row r="62" spans="1:3" x14ac:dyDescent="0.25">
      <c r="A62">
        <v>65</v>
      </c>
      <c r="B62">
        <v>5.4043712986209498E-4</v>
      </c>
      <c r="C62" s="3"/>
    </row>
    <row r="63" spans="1:3" x14ac:dyDescent="0.25">
      <c r="A63">
        <v>66</v>
      </c>
      <c r="B63">
        <v>5.4399083883805701E-4</v>
      </c>
      <c r="C63" s="3"/>
    </row>
    <row r="64" spans="1:3" x14ac:dyDescent="0.25">
      <c r="A64">
        <v>67</v>
      </c>
      <c r="B64">
        <v>5.43281424304017E-4</v>
      </c>
      <c r="C64" s="3"/>
    </row>
    <row r="65" spans="1:3" x14ac:dyDescent="0.25">
      <c r="A65">
        <v>68</v>
      </c>
      <c r="B65">
        <v>5.4306529191074603E-4</v>
      </c>
      <c r="C65" s="3"/>
    </row>
    <row r="66" spans="1:3" x14ac:dyDescent="0.25">
      <c r="A66">
        <v>69</v>
      </c>
      <c r="B66">
        <v>5.4213703127906098E-4</v>
      </c>
      <c r="C66" s="3"/>
    </row>
    <row r="67" spans="1:3" x14ac:dyDescent="0.25">
      <c r="A67">
        <v>70</v>
      </c>
      <c r="B67">
        <v>5.4198346572829003E-4</v>
      </c>
      <c r="C67" s="3"/>
    </row>
    <row r="68" spans="1:3" x14ac:dyDescent="0.25">
      <c r="A68">
        <v>71</v>
      </c>
      <c r="B68">
        <v>5.4096931329071496E-4</v>
      </c>
      <c r="C68" s="3"/>
    </row>
    <row r="69" spans="1:3" x14ac:dyDescent="0.25">
      <c r="A69">
        <v>72</v>
      </c>
      <c r="B69">
        <v>5.3951749136485505E-4</v>
      </c>
      <c r="C69" s="3"/>
    </row>
    <row r="70" spans="1:3" x14ac:dyDescent="0.25">
      <c r="A70">
        <v>73</v>
      </c>
      <c r="B70">
        <v>5.3996138847436698E-4</v>
      </c>
      <c r="C70" s="3"/>
    </row>
    <row r="71" spans="1:3" x14ac:dyDescent="0.25">
      <c r="A71">
        <v>74</v>
      </c>
      <c r="B71">
        <v>5.3865580521694702E-4</v>
      </c>
      <c r="C71" s="3"/>
    </row>
    <row r="72" spans="1:3" x14ac:dyDescent="0.25">
      <c r="A72">
        <v>75</v>
      </c>
      <c r="B72">
        <v>5.3855582752064405E-4</v>
      </c>
      <c r="C72" s="3"/>
    </row>
    <row r="73" spans="1:3" x14ac:dyDescent="0.25">
      <c r="A73">
        <v>76</v>
      </c>
      <c r="B73">
        <v>5.3779631492542005E-4</v>
      </c>
      <c r="C73" s="3"/>
    </row>
    <row r="74" spans="1:3" x14ac:dyDescent="0.25">
      <c r="A74">
        <v>77</v>
      </c>
      <c r="B74">
        <v>5.3668920507270797E-4</v>
      </c>
      <c r="C74" s="3"/>
    </row>
    <row r="75" spans="1:3" x14ac:dyDescent="0.25">
      <c r="A75">
        <v>78</v>
      </c>
      <c r="B75">
        <v>5.3623057942086205E-4</v>
      </c>
      <c r="C75" s="3"/>
    </row>
    <row r="76" spans="1:3" x14ac:dyDescent="0.25">
      <c r="A76">
        <v>79</v>
      </c>
      <c r="B76">
        <v>5.3529988774109899E-4</v>
      </c>
      <c r="C76" s="3"/>
    </row>
    <row r="77" spans="1:3" x14ac:dyDescent="0.25">
      <c r="A77">
        <v>80</v>
      </c>
      <c r="B77">
        <v>5.3332874990378199E-4</v>
      </c>
      <c r="C77" s="3"/>
    </row>
    <row r="78" spans="1:3" x14ac:dyDescent="0.25">
      <c r="A78">
        <v>81</v>
      </c>
      <c r="B78">
        <v>5.3262935009344399E-4</v>
      </c>
      <c r="C78" s="3"/>
    </row>
    <row r="79" spans="1:3" x14ac:dyDescent="0.25">
      <c r="A79">
        <v>82</v>
      </c>
      <c r="B79">
        <v>5.3250393442615899E-4</v>
      </c>
      <c r="C79" s="3"/>
    </row>
    <row r="80" spans="1:3" x14ac:dyDescent="0.25">
      <c r="A80">
        <v>83</v>
      </c>
      <c r="B80">
        <v>5.3185079736668597E-4</v>
      </c>
      <c r="C80" s="3"/>
    </row>
    <row r="81" spans="1:3" x14ac:dyDescent="0.25">
      <c r="A81">
        <v>84</v>
      </c>
      <c r="B81">
        <v>5.3108924775832796E-4</v>
      </c>
      <c r="C81" s="3"/>
    </row>
    <row r="82" spans="1:3" x14ac:dyDescent="0.25">
      <c r="A82">
        <v>85</v>
      </c>
      <c r="B82">
        <v>5.3053950545227998E-4</v>
      </c>
      <c r="C82" s="3"/>
    </row>
    <row r="83" spans="1:3" x14ac:dyDescent="0.25">
      <c r="A83">
        <v>86</v>
      </c>
      <c r="B83">
        <v>5.2965663986231405E-4</v>
      </c>
      <c r="C83" s="3"/>
    </row>
    <row r="84" spans="1:3" x14ac:dyDescent="0.25">
      <c r="A84">
        <v>87</v>
      </c>
      <c r="B84">
        <v>5.3102532148892496E-4</v>
      </c>
      <c r="C84" s="3"/>
    </row>
    <row r="85" spans="1:3" x14ac:dyDescent="0.25">
      <c r="A85">
        <v>88</v>
      </c>
      <c r="B85">
        <v>5.3029663259892505E-4</v>
      </c>
      <c r="C85" s="3"/>
    </row>
    <row r="86" spans="1:3" x14ac:dyDescent="0.25">
      <c r="A86">
        <v>89</v>
      </c>
      <c r="B86">
        <v>5.2959435878277496E-4</v>
      </c>
      <c r="C86" s="3"/>
    </row>
    <row r="87" spans="1:3" x14ac:dyDescent="0.25">
      <c r="A87">
        <v>90</v>
      </c>
      <c r="B87">
        <v>5.2909625244550998E-4</v>
      </c>
      <c r="C87" s="3"/>
    </row>
    <row r="88" spans="1:3" x14ac:dyDescent="0.25">
      <c r="A88">
        <v>91</v>
      </c>
      <c r="B88">
        <v>5.2808167250302496E-4</v>
      </c>
      <c r="C88" s="3"/>
    </row>
    <row r="89" spans="1:3" x14ac:dyDescent="0.25">
      <c r="A89">
        <v>92</v>
      </c>
      <c r="B89">
        <v>5.2767532937991399E-4</v>
      </c>
      <c r="C89" s="3"/>
    </row>
    <row r="90" spans="1:3" x14ac:dyDescent="0.25">
      <c r="A90">
        <v>93</v>
      </c>
      <c r="B90">
        <v>5.2713560357703501E-4</v>
      </c>
      <c r="C90" s="3"/>
    </row>
    <row r="91" spans="1:3" x14ac:dyDescent="0.25">
      <c r="A91">
        <v>94</v>
      </c>
      <c r="B91">
        <v>5.2679101710591605E-4</v>
      </c>
      <c r="C91" s="3"/>
    </row>
    <row r="92" spans="1:3" x14ac:dyDescent="0.25">
      <c r="A92">
        <v>95</v>
      </c>
      <c r="B92">
        <v>5.2618681433154295E-4</v>
      </c>
      <c r="C92" s="3"/>
    </row>
    <row r="93" spans="1:3" x14ac:dyDescent="0.25">
      <c r="A93">
        <v>96</v>
      </c>
      <c r="B93">
        <v>5.2549830058816103E-4</v>
      </c>
      <c r="C93" s="3"/>
    </row>
    <row r="94" spans="1:3" x14ac:dyDescent="0.25">
      <c r="A94">
        <v>97</v>
      </c>
      <c r="B94">
        <v>5.2493651372281401E-4</v>
      </c>
      <c r="C94" s="3"/>
    </row>
    <row r="95" spans="1:3" x14ac:dyDescent="0.25">
      <c r="A95">
        <v>98</v>
      </c>
      <c r="B95">
        <v>5.2402938442391096E-4</v>
      </c>
      <c r="C95" s="3"/>
    </row>
    <row r="96" spans="1:3" x14ac:dyDescent="0.25">
      <c r="A96">
        <v>99</v>
      </c>
      <c r="B96">
        <v>5.2413366580511295E-4</v>
      </c>
      <c r="C96" s="3"/>
    </row>
    <row r="97" spans="1:3" x14ac:dyDescent="0.25">
      <c r="A97">
        <v>100</v>
      </c>
      <c r="B97">
        <v>5.2367056977411001E-4</v>
      </c>
      <c r="C97" s="3"/>
    </row>
    <row r="98" spans="1:3" x14ac:dyDescent="0.25">
      <c r="A98">
        <v>101</v>
      </c>
      <c r="B98">
        <v>5.2065834245763204E-4</v>
      </c>
      <c r="C98" s="3"/>
    </row>
    <row r="99" spans="1:3" x14ac:dyDescent="0.25">
      <c r="A99">
        <v>102</v>
      </c>
      <c r="B99">
        <v>5.2011507607607201E-4</v>
      </c>
      <c r="C99" s="3"/>
    </row>
    <row r="100" spans="1:3" x14ac:dyDescent="0.25">
      <c r="A100">
        <v>112</v>
      </c>
      <c r="B100">
        <v>5.1387006607791098E-4</v>
      </c>
      <c r="C100" s="3"/>
    </row>
    <row r="101" spans="1:3" x14ac:dyDescent="0.25">
      <c r="A101">
        <v>122</v>
      </c>
      <c r="B101">
        <v>5.0712067968739698E-4</v>
      </c>
      <c r="C101" s="3"/>
    </row>
    <row r="102" spans="1:3" x14ac:dyDescent="0.25">
      <c r="A102">
        <v>132</v>
      </c>
      <c r="B102">
        <v>4.9827947423330997E-4</v>
      </c>
      <c r="C102" s="3"/>
    </row>
    <row r="103" spans="1:3" x14ac:dyDescent="0.25">
      <c r="A103">
        <v>142</v>
      </c>
      <c r="B103">
        <v>4.9644924566700404E-4</v>
      </c>
      <c r="C103" s="3"/>
    </row>
    <row r="104" spans="1:3" x14ac:dyDescent="0.25">
      <c r="A104">
        <v>152</v>
      </c>
      <c r="B104">
        <v>4.9073055934445301E-4</v>
      </c>
      <c r="C104" s="3"/>
    </row>
    <row r="105" spans="1:3" x14ac:dyDescent="0.25">
      <c r="A105">
        <v>162</v>
      </c>
      <c r="B105">
        <v>4.84685106814527E-4</v>
      </c>
      <c r="C105" s="3"/>
    </row>
    <row r="106" spans="1:3" x14ac:dyDescent="0.25">
      <c r="A106">
        <v>172</v>
      </c>
      <c r="B106">
        <v>4.7996258684970399E-4</v>
      </c>
      <c r="C106" s="3"/>
    </row>
    <row r="107" spans="1:3" x14ac:dyDescent="0.25">
      <c r="A107">
        <v>182</v>
      </c>
      <c r="B107">
        <v>4.7414547624345503E-4</v>
      </c>
      <c r="C107" s="3"/>
    </row>
    <row r="108" spans="1:3" x14ac:dyDescent="0.25">
      <c r="A108">
        <v>192</v>
      </c>
      <c r="B108">
        <v>4.6858754745062999E-4</v>
      </c>
      <c r="C108" s="3"/>
    </row>
    <row r="109" spans="1:3" x14ac:dyDescent="0.25">
      <c r="A109">
        <v>202</v>
      </c>
      <c r="B109">
        <v>4.6270562667343E-4</v>
      </c>
      <c r="C109" s="3"/>
    </row>
    <row r="110" spans="1:3" x14ac:dyDescent="0.25">
      <c r="A110">
        <v>212</v>
      </c>
      <c r="B110">
        <v>4.5693355059812099E-4</v>
      </c>
      <c r="C110" s="3"/>
    </row>
    <row r="111" spans="1:3" x14ac:dyDescent="0.25">
      <c r="A111">
        <v>222</v>
      </c>
      <c r="B111">
        <v>4.5029780182117098E-4</v>
      </c>
      <c r="C111" s="3"/>
    </row>
    <row r="112" spans="1:3" x14ac:dyDescent="0.25">
      <c r="A112">
        <v>232</v>
      </c>
      <c r="B112">
        <v>4.45320332176347E-4</v>
      </c>
      <c r="C112" s="3"/>
    </row>
    <row r="113" spans="1:3" x14ac:dyDescent="0.25">
      <c r="A113">
        <v>242</v>
      </c>
      <c r="B113">
        <v>4.39134683496847E-4</v>
      </c>
      <c r="C113" s="3"/>
    </row>
    <row r="114" spans="1:3" x14ac:dyDescent="0.25">
      <c r="A114">
        <v>252</v>
      </c>
      <c r="B114">
        <v>4.3397314417080099E-4</v>
      </c>
      <c r="C114" s="3"/>
    </row>
    <row r="115" spans="1:3" x14ac:dyDescent="0.25">
      <c r="A115">
        <v>262</v>
      </c>
      <c r="B115">
        <v>4.2865132160966398E-4</v>
      </c>
      <c r="C115" s="3"/>
    </row>
    <row r="116" spans="1:3" x14ac:dyDescent="0.25">
      <c r="A116">
        <v>272</v>
      </c>
      <c r="B116">
        <v>4.22989701047418E-4</v>
      </c>
      <c r="C116" s="3"/>
    </row>
    <row r="117" spans="1:3" x14ac:dyDescent="0.25">
      <c r="A117">
        <v>282</v>
      </c>
      <c r="B117">
        <v>4.1815521431147397E-4</v>
      </c>
      <c r="C117" s="3"/>
    </row>
    <row r="118" spans="1:3" x14ac:dyDescent="0.25">
      <c r="A118">
        <v>292</v>
      </c>
      <c r="B118">
        <v>4.1246306393832898E-4</v>
      </c>
      <c r="C118" s="3"/>
    </row>
    <row r="119" spans="1:3" x14ac:dyDescent="0.25">
      <c r="A119">
        <v>302</v>
      </c>
      <c r="B119">
        <v>4.06965705401159E-4</v>
      </c>
      <c r="C119" s="3"/>
    </row>
    <row r="120" spans="1:3" x14ac:dyDescent="0.25">
      <c r="A120">
        <v>312</v>
      </c>
      <c r="B120">
        <v>4.0194789540267702E-4</v>
      </c>
      <c r="C120" s="3"/>
    </row>
    <row r="121" spans="1:3" x14ac:dyDescent="0.25">
      <c r="A121">
        <v>322</v>
      </c>
      <c r="B121">
        <v>3.9695454546715997E-4</v>
      </c>
      <c r="C121" s="3"/>
    </row>
    <row r="122" spans="1:3" x14ac:dyDescent="0.25">
      <c r="A122">
        <v>332</v>
      </c>
      <c r="B122">
        <v>3.9125935875498701E-4</v>
      </c>
      <c r="C122" s="3"/>
    </row>
    <row r="123" spans="1:3" x14ac:dyDescent="0.25">
      <c r="A123">
        <v>342</v>
      </c>
      <c r="B123">
        <v>3.8649774224258101E-4</v>
      </c>
      <c r="C123" s="3"/>
    </row>
    <row r="124" spans="1:3" x14ac:dyDescent="0.25">
      <c r="A124">
        <v>352</v>
      </c>
      <c r="B124">
        <v>3.8119901109028497E-4</v>
      </c>
      <c r="C124" s="3"/>
    </row>
    <row r="125" spans="1:3" x14ac:dyDescent="0.25">
      <c r="A125">
        <v>362</v>
      </c>
      <c r="B125">
        <v>3.7658106608490102E-4</v>
      </c>
      <c r="C125" s="3"/>
    </row>
    <row r="126" spans="1:3" x14ac:dyDescent="0.25">
      <c r="A126">
        <v>372</v>
      </c>
      <c r="B126">
        <v>3.71983605069622E-4</v>
      </c>
      <c r="C126" s="3"/>
    </row>
    <row r="127" spans="1:3" x14ac:dyDescent="0.25">
      <c r="A127">
        <v>382</v>
      </c>
      <c r="B127">
        <v>3.6701726385481303E-4</v>
      </c>
      <c r="C127" s="3"/>
    </row>
    <row r="128" spans="1:3" x14ac:dyDescent="0.25">
      <c r="A128">
        <v>392</v>
      </c>
      <c r="B128">
        <v>3.6126930843893103E-4</v>
      </c>
      <c r="C128" s="3"/>
    </row>
    <row r="129" spans="1:3" x14ac:dyDescent="0.25">
      <c r="A129">
        <v>402</v>
      </c>
      <c r="B129">
        <v>3.5702991607601E-4</v>
      </c>
      <c r="C129" s="3"/>
    </row>
    <row r="130" spans="1:3" x14ac:dyDescent="0.25">
      <c r="A130">
        <v>412</v>
      </c>
      <c r="B130">
        <v>3.5167925476005401E-4</v>
      </c>
      <c r="C130" s="3"/>
    </row>
    <row r="131" spans="1:3" x14ac:dyDescent="0.25">
      <c r="A131">
        <v>422</v>
      </c>
      <c r="B131">
        <v>3.47300265790706E-4</v>
      </c>
      <c r="C131" s="3"/>
    </row>
    <row r="132" spans="1:3" x14ac:dyDescent="0.25">
      <c r="A132">
        <v>432</v>
      </c>
      <c r="B132">
        <v>3.4239512640732802E-4</v>
      </c>
      <c r="C132" s="3"/>
    </row>
    <row r="133" spans="1:3" x14ac:dyDescent="0.25">
      <c r="A133">
        <v>442</v>
      </c>
      <c r="B133">
        <v>3.3770170005947402E-4</v>
      </c>
      <c r="C133" s="3"/>
    </row>
    <row r="134" spans="1:3" x14ac:dyDescent="0.25">
      <c r="A134">
        <v>452</v>
      </c>
      <c r="B134">
        <v>3.3336399584120598E-4</v>
      </c>
      <c r="C134" s="3"/>
    </row>
    <row r="135" spans="1:3" x14ac:dyDescent="0.25">
      <c r="A135">
        <v>462</v>
      </c>
      <c r="B135">
        <v>3.28013397507314E-4</v>
      </c>
      <c r="C135" s="3"/>
    </row>
    <row r="136" spans="1:3" x14ac:dyDescent="0.25">
      <c r="A136">
        <v>472</v>
      </c>
      <c r="B136">
        <v>3.2373763066164101E-4</v>
      </c>
      <c r="C136" s="3"/>
    </row>
    <row r="137" spans="1:3" x14ac:dyDescent="0.25">
      <c r="A137">
        <v>482</v>
      </c>
      <c r="B137">
        <v>3.1930080293663901E-4</v>
      </c>
      <c r="C137" s="3"/>
    </row>
    <row r="138" spans="1:3" x14ac:dyDescent="0.25">
      <c r="A138">
        <v>492</v>
      </c>
      <c r="B138">
        <v>3.1488482799548199E-4</v>
      </c>
      <c r="C138" s="3"/>
    </row>
    <row r="139" spans="1:3" x14ac:dyDescent="0.25">
      <c r="A139">
        <v>502</v>
      </c>
      <c r="B139">
        <v>3.10513451000671E-4</v>
      </c>
      <c r="C139" s="3"/>
    </row>
    <row r="140" spans="1:3" x14ac:dyDescent="0.25">
      <c r="A140">
        <v>602</v>
      </c>
      <c r="B140">
        <v>2.6671901796537897E-4</v>
      </c>
      <c r="C140" s="3"/>
    </row>
    <row r="141" spans="1:3" x14ac:dyDescent="0.25">
      <c r="A141">
        <v>702</v>
      </c>
      <c r="B141">
        <v>2.29271432894868E-4</v>
      </c>
      <c r="C141" s="3"/>
    </row>
    <row r="142" spans="1:3" x14ac:dyDescent="0.25">
      <c r="A142">
        <v>802</v>
      </c>
      <c r="B142">
        <v>1.94506847518834E-4</v>
      </c>
      <c r="C142" s="3"/>
    </row>
    <row r="143" spans="1:3" x14ac:dyDescent="0.25">
      <c r="A143">
        <v>902</v>
      </c>
      <c r="B143">
        <v>1.6375249701341301E-4</v>
      </c>
      <c r="C143" s="3"/>
    </row>
    <row r="144" spans="1:3" x14ac:dyDescent="0.25">
      <c r="A144">
        <v>1002</v>
      </c>
      <c r="B144">
        <v>1.3672695418339399E-4</v>
      </c>
      <c r="C144" s="3"/>
    </row>
    <row r="145" spans="1:3" x14ac:dyDescent="0.25">
      <c r="A145">
        <v>1102</v>
      </c>
      <c r="B145">
        <v>1.13605344785701E-4</v>
      </c>
      <c r="C145" s="3"/>
    </row>
    <row r="146" spans="1:3" x14ac:dyDescent="0.25">
      <c r="A146">
        <v>1202</v>
      </c>
      <c r="B146" s="1">
        <v>9.3915750352155096E-5</v>
      </c>
      <c r="C146" s="3"/>
    </row>
    <row r="147" spans="1:3" x14ac:dyDescent="0.25">
      <c r="A147">
        <v>1302</v>
      </c>
      <c r="B147" s="1">
        <v>7.7454481922590898E-5</v>
      </c>
      <c r="C147" s="3"/>
    </row>
    <row r="148" spans="1:3" x14ac:dyDescent="0.25">
      <c r="A148">
        <v>1402</v>
      </c>
      <c r="B148" s="1">
        <v>6.3659884868127998E-5</v>
      </c>
      <c r="C148" s="3"/>
    </row>
    <row r="149" spans="1:3" x14ac:dyDescent="0.25">
      <c r="A149">
        <v>1502</v>
      </c>
      <c r="B149" s="1">
        <v>5.24868267070737E-5</v>
      </c>
      <c r="C149" s="3"/>
    </row>
    <row r="150" spans="1:3" x14ac:dyDescent="0.25">
      <c r="A150">
        <v>1602</v>
      </c>
      <c r="B150" s="1">
        <v>4.3215964757765699E-5</v>
      </c>
      <c r="C150" s="3"/>
    </row>
    <row r="151" spans="1:3" x14ac:dyDescent="0.25">
      <c r="A151">
        <v>1702</v>
      </c>
      <c r="B151" s="1">
        <v>3.6210814436379198E-5</v>
      </c>
      <c r="C151" s="3"/>
    </row>
    <row r="152" spans="1:3" x14ac:dyDescent="0.25">
      <c r="A152">
        <v>1802</v>
      </c>
      <c r="B152" s="1">
        <v>3.06433879538035E-5</v>
      </c>
      <c r="C152" s="3"/>
    </row>
    <row r="153" spans="1:3" x14ac:dyDescent="0.25">
      <c r="A153">
        <v>1902</v>
      </c>
      <c r="B153" s="1">
        <v>2.6075394292296499E-5</v>
      </c>
      <c r="C153" s="3"/>
    </row>
    <row r="154" spans="1:3" x14ac:dyDescent="0.25">
      <c r="A154">
        <v>2002</v>
      </c>
      <c r="B154" s="1">
        <v>2.2667110413731199E-5</v>
      </c>
      <c r="C154" s="3"/>
    </row>
    <row r="155" spans="1:3" x14ac:dyDescent="0.25">
      <c r="A155">
        <v>2102</v>
      </c>
      <c r="B155" s="1">
        <v>1.9775337636330301E-5</v>
      </c>
      <c r="C155" s="3"/>
    </row>
    <row r="156" spans="1:3" x14ac:dyDescent="0.25">
      <c r="A156">
        <v>2202</v>
      </c>
      <c r="B156" s="1">
        <v>1.7590508255583199E-5</v>
      </c>
      <c r="C156" s="3"/>
    </row>
    <row r="157" spans="1:3" x14ac:dyDescent="0.25">
      <c r="A157">
        <v>2302</v>
      </c>
      <c r="B157" s="1">
        <v>1.565848043228E-5</v>
      </c>
      <c r="C157" s="3"/>
    </row>
    <row r="158" spans="1:3" x14ac:dyDescent="0.25">
      <c r="A158">
        <v>2402</v>
      </c>
      <c r="B158" s="1">
        <v>1.39700336682189E-5</v>
      </c>
      <c r="C158" s="3"/>
    </row>
    <row r="159" spans="1:3" x14ac:dyDescent="0.25">
      <c r="A159">
        <v>2502</v>
      </c>
      <c r="B159" s="1">
        <v>1.2594225964202001E-5</v>
      </c>
      <c r="C159" s="3"/>
    </row>
    <row r="160" spans="1:3" x14ac:dyDescent="0.25">
      <c r="A160">
        <v>2602</v>
      </c>
      <c r="B160" s="1">
        <v>1.1478109616002299E-5</v>
      </c>
      <c r="C160" s="3"/>
    </row>
    <row r="161" spans="1:3" x14ac:dyDescent="0.25">
      <c r="A161">
        <v>2702</v>
      </c>
      <c r="B161" s="1">
        <v>1.04118172281955E-5</v>
      </c>
      <c r="C161" s="3"/>
    </row>
    <row r="162" spans="1:3" x14ac:dyDescent="0.25">
      <c r="A162">
        <v>2802</v>
      </c>
      <c r="B162" s="1">
        <v>9.4735238667283602E-6</v>
      </c>
      <c r="C162" s="3"/>
    </row>
    <row r="163" spans="1:3" x14ac:dyDescent="0.25">
      <c r="A163">
        <v>2902</v>
      </c>
      <c r="B163" s="1">
        <v>8.5943698452901994E-6</v>
      </c>
      <c r="C163" s="3"/>
    </row>
    <row r="164" spans="1:3" x14ac:dyDescent="0.25">
      <c r="A164">
        <v>3002</v>
      </c>
      <c r="B164" s="1">
        <v>7.7478767554368306E-6</v>
      </c>
      <c r="C164"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8188-4344-4C0B-BBFC-0F719607A074}">
  <dimension ref="A1:R49"/>
  <sheetViews>
    <sheetView tabSelected="1" topLeftCell="A10" workbookViewId="0">
      <selection activeCell="M36" sqref="M36"/>
    </sheetView>
  </sheetViews>
  <sheetFormatPr defaultRowHeight="15" x14ac:dyDescent="0.25"/>
  <cols>
    <col min="1" max="1" width="12" bestFit="1" customWidth="1"/>
    <col min="2" max="2" width="9.140625" customWidth="1"/>
    <col min="4" max="4" width="12" bestFit="1" customWidth="1"/>
    <col min="6" max="7" width="12" bestFit="1" customWidth="1"/>
    <col min="10" max="10" width="12" bestFit="1" customWidth="1"/>
    <col min="11" max="11" width="9.140625" customWidth="1"/>
    <col min="13" max="13" width="12" bestFit="1" customWidth="1"/>
    <col min="16" max="16" width="12" bestFit="1" customWidth="1"/>
    <col min="19" max="20" width="12" bestFit="1" customWidth="1"/>
  </cols>
  <sheetData>
    <row r="1" spans="1:18" x14ac:dyDescent="0.25">
      <c r="A1" t="s">
        <v>54</v>
      </c>
    </row>
    <row r="3" spans="1:18" x14ac:dyDescent="0.25">
      <c r="A3" t="s">
        <v>57</v>
      </c>
      <c r="D3" t="s">
        <v>58</v>
      </c>
    </row>
    <row r="4" spans="1:18" x14ac:dyDescent="0.25">
      <c r="A4" s="4" t="s">
        <v>77</v>
      </c>
      <c r="D4" s="4" t="s">
        <v>71</v>
      </c>
    </row>
    <row r="6" spans="1:18" x14ac:dyDescent="0.25">
      <c r="A6">
        <f>0.00043048^2</f>
        <v>1.8531303040000002E-7</v>
      </c>
      <c r="D6">
        <f>0.00043135^2</f>
        <v>1.8606282250000001E-7</v>
      </c>
    </row>
    <row r="7" spans="1:18" x14ac:dyDescent="0.25">
      <c r="A7">
        <f>0.0031889^2</f>
        <v>1.016908321E-5</v>
      </c>
      <c r="B7">
        <f>ATAN2(-0.00043048,-0.0031889)</f>
        <v>-1.7049784332807318</v>
      </c>
      <c r="D7">
        <f>0.0031474^2</f>
        <v>9.9061267599999996E-6</v>
      </c>
      <c r="E7">
        <f>ATAN2(-0.00043135,-0.0031474)</f>
        <v>-1.7069974475574217</v>
      </c>
    </row>
    <row r="8" spans="1:18" x14ac:dyDescent="0.25">
      <c r="A8">
        <f>SQRT(A7+A6)</f>
        <v>3.2178247684421847E-3</v>
      </c>
      <c r="B8">
        <f>EXP(B7)</f>
        <v>0.18177630645166445</v>
      </c>
      <c r="D8">
        <f>SQRT(D7+D6)</f>
        <v>3.1768206720713715E-3</v>
      </c>
      <c r="E8">
        <f>EXP(E7)</f>
        <v>0.18140966774271622</v>
      </c>
    </row>
    <row r="9" spans="1:18" x14ac:dyDescent="0.25">
      <c r="B9" s="1">
        <f>B8*A8</f>
        <v>5.8492430121610275E-4</v>
      </c>
      <c r="E9" s="1">
        <f>E8*D8</f>
        <v>5.7630598259865993E-4</v>
      </c>
    </row>
    <row r="11" spans="1:18" x14ac:dyDescent="0.25">
      <c r="A11" t="s">
        <v>72</v>
      </c>
      <c r="D11" s="3" t="s">
        <v>70</v>
      </c>
      <c r="E11" s="1"/>
      <c r="F11" s="3"/>
      <c r="G11" s="3"/>
      <c r="H11" s="3"/>
      <c r="I11" s="3"/>
      <c r="K11" s="1"/>
      <c r="M11" s="1"/>
      <c r="O11" t="s">
        <v>61</v>
      </c>
      <c r="P11" t="s">
        <v>62</v>
      </c>
      <c r="Q11" t="s">
        <v>76</v>
      </c>
      <c r="R11" t="s">
        <v>76</v>
      </c>
    </row>
    <row r="12" spans="1:18" x14ac:dyDescent="0.25">
      <c r="A12" t="s">
        <v>75</v>
      </c>
      <c r="D12" t="s">
        <v>69</v>
      </c>
      <c r="M12" s="1"/>
      <c r="N12">
        <v>10</v>
      </c>
      <c r="O12">
        <f>B49</f>
        <v>5.8754764319286323E-4</v>
      </c>
      <c r="P12">
        <f>E49</f>
        <v>5.8109439657202369E-4</v>
      </c>
      <c r="Q12">
        <f>A48</f>
        <v>3.2041838092718715E-3</v>
      </c>
      <c r="R12">
        <f>D48</f>
        <v>3.172125823733983E-3</v>
      </c>
    </row>
    <row r="13" spans="1:18" x14ac:dyDescent="0.25">
      <c r="N13">
        <v>25</v>
      </c>
      <c r="O13">
        <f>B41</f>
        <v>5.8753492493743233E-4</v>
      </c>
      <c r="P13">
        <f>E41</f>
        <v>5.8117462031240523E-4</v>
      </c>
      <c r="Q13">
        <f>A40</f>
        <v>3.2041938206669083E-3</v>
      </c>
      <c r="R13">
        <f>D40</f>
        <v>3.1713694167662021E-3</v>
      </c>
    </row>
    <row r="14" spans="1:18" x14ac:dyDescent="0.25">
      <c r="A14">
        <f>0.00040598^2</f>
        <v>1.648197604E-7</v>
      </c>
      <c r="D14">
        <f>0.00041328^2</f>
        <v>1.7080035839999998E-7</v>
      </c>
      <c r="N14">
        <v>50</v>
      </c>
      <c r="O14">
        <f>B33</f>
        <v>5.8774109760394101E-4</v>
      </c>
      <c r="P14">
        <f>E33</f>
        <v>5.8143268930993595E-4</v>
      </c>
      <c r="Q14" s="1">
        <f>A32</f>
        <v>3.2076081818700987E-3</v>
      </c>
      <c r="R14">
        <f>D32</f>
        <v>3.1717423947098858E-3</v>
      </c>
    </row>
    <row r="15" spans="1:18" x14ac:dyDescent="0.25">
      <c r="A15">
        <f>0.0031844^2</f>
        <v>1.0140403360000001E-5</v>
      </c>
      <c r="B15">
        <f>ATAN2(-0.00040598,-0.0031844)</f>
        <v>-1.6976025184255239</v>
      </c>
      <c r="D15">
        <f>0.0031426^2</f>
        <v>9.8759347600000013E-6</v>
      </c>
      <c r="E15">
        <f>ATAN2(-0.00041328,-0.0031426)</f>
        <v>-1.7015549079023007</v>
      </c>
      <c r="N15">
        <v>65</v>
      </c>
      <c r="O15">
        <f>B25</f>
        <v>5.8738561503331513E-4</v>
      </c>
      <c r="P15">
        <f>E25</f>
        <v>5.7916591668723304E-4</v>
      </c>
      <c r="Q15">
        <f>A24</f>
        <v>3.2059416087764294E-3</v>
      </c>
      <c r="R15">
        <f>D24</f>
        <v>3.1711369147515533E-3</v>
      </c>
    </row>
    <row r="16" spans="1:18" x14ac:dyDescent="0.25">
      <c r="A16">
        <f>SQRT(A15+A14)</f>
        <v>3.2101749361055079E-3</v>
      </c>
      <c r="B16">
        <f>EXP(B15)</f>
        <v>0.18312202988039122</v>
      </c>
      <c r="D16">
        <f>SQRT(D15+D14)</f>
        <v>3.1696585176324596E-3</v>
      </c>
      <c r="E16">
        <f>EXP(E15)</f>
        <v>0.18239968872364962</v>
      </c>
      <c r="N16">
        <v>75</v>
      </c>
      <c r="O16">
        <f>B17</f>
        <v>5.8785375057079578E-4</v>
      </c>
      <c r="P16">
        <f>E17</f>
        <v>5.7814472697642529E-4</v>
      </c>
      <c r="Q16" s="1">
        <f>A16</f>
        <v>3.2101749361055079E-3</v>
      </c>
      <c r="R16">
        <f>D16</f>
        <v>3.1696585176324596E-3</v>
      </c>
    </row>
    <row r="17" spans="1:18" x14ac:dyDescent="0.25">
      <c r="B17">
        <f>B16*A16</f>
        <v>5.8785375057079578E-4</v>
      </c>
      <c r="E17">
        <f>E16*D16</f>
        <v>5.7814472697642529E-4</v>
      </c>
      <c r="N17">
        <v>100</v>
      </c>
      <c r="O17" s="1">
        <f>B9</f>
        <v>5.8492430121610275E-4</v>
      </c>
      <c r="P17" s="1">
        <f>E9</f>
        <v>5.7630598259865993E-4</v>
      </c>
      <c r="Q17" s="1">
        <f>A8</f>
        <v>3.2178247684421847E-3</v>
      </c>
      <c r="R17">
        <f>D8</f>
        <v>3.1768206720713715E-3</v>
      </c>
    </row>
    <row r="19" spans="1:18" x14ac:dyDescent="0.25">
      <c r="A19" t="s">
        <v>81</v>
      </c>
      <c r="D19" t="s">
        <v>79</v>
      </c>
    </row>
    <row r="20" spans="1:18" x14ac:dyDescent="0.25">
      <c r="A20" t="s">
        <v>80</v>
      </c>
      <c r="D20" t="s">
        <v>78</v>
      </c>
    </row>
    <row r="22" spans="1:18" x14ac:dyDescent="0.25">
      <c r="A22">
        <f>0.000403878^2</f>
        <v>1.63117438884E-7</v>
      </c>
      <c r="D22">
        <f>0.00040939^2</f>
        <v>1.6760017209999998E-7</v>
      </c>
    </row>
    <row r="23" spans="1:18" x14ac:dyDescent="0.25">
      <c r="A23">
        <f>0.0031804^2</f>
        <v>1.011494416E-5</v>
      </c>
      <c r="B23">
        <f>ATAN2(-0.00040378,-0.0031804)</f>
        <v>-1.6970795906492488</v>
      </c>
      <c r="D23">
        <f>0.0031446^2</f>
        <v>9.8885091600000005E-6</v>
      </c>
      <c r="E23">
        <f>ATAN2(-0.00040939,-0.0031446)</f>
        <v>-1.700256456917568</v>
      </c>
    </row>
    <row r="24" spans="1:18" x14ac:dyDescent="0.25">
      <c r="A24">
        <f>SQRT(A23+A22)</f>
        <v>3.2059416087764294E-3</v>
      </c>
      <c r="B24">
        <f>EXP(B23)</f>
        <v>0.18321781451830468</v>
      </c>
      <c r="D24">
        <f>SQRT(D23+D22)</f>
        <v>3.1711369147515533E-3</v>
      </c>
      <c r="E24">
        <f>EXP(E23)</f>
        <v>0.18263667960631355</v>
      </c>
    </row>
    <row r="25" spans="1:18" x14ac:dyDescent="0.25">
      <c r="B25">
        <f>B24*A24</f>
        <v>5.8738561503331513E-4</v>
      </c>
      <c r="E25">
        <f>E24*D24</f>
        <v>5.7916591668723304E-4</v>
      </c>
    </row>
    <row r="27" spans="1:18" x14ac:dyDescent="0.25">
      <c r="A27" t="s">
        <v>55</v>
      </c>
      <c r="D27" t="s">
        <v>59</v>
      </c>
    </row>
    <row r="28" spans="1:18" x14ac:dyDescent="0.25">
      <c r="A28" t="s">
        <v>74</v>
      </c>
      <c r="D28" t="s">
        <v>68</v>
      </c>
    </row>
    <row r="30" spans="1:18" x14ac:dyDescent="0.25">
      <c r="A30">
        <f>0.00040372^2</f>
        <v>1.6298983839999998E-7</v>
      </c>
      <c r="D30">
        <f>0.00039778^2</f>
        <v>1.5822892839999999E-7</v>
      </c>
    </row>
    <row r="31" spans="1:18" x14ac:dyDescent="0.25">
      <c r="A31">
        <f>-0.0031821^2</f>
        <v>1.0125760410000001E-5</v>
      </c>
      <c r="B31">
        <f>ATAN2(-0.00040372,-0.0031821)</f>
        <v>-1.696994282969684</v>
      </c>
      <c r="D31">
        <f>0.0031467^2</f>
        <v>9.9017208900000014E-6</v>
      </c>
      <c r="E31">
        <f>ATAN2(-0.00039778,-0.0031467)</f>
        <v>-1.696541155488916</v>
      </c>
    </row>
    <row r="32" spans="1:18" x14ac:dyDescent="0.25">
      <c r="A32">
        <f>SQRT(A31+A30)</f>
        <v>3.2076081818700987E-3</v>
      </c>
      <c r="B32">
        <f>EXP(B31)</f>
        <v>0.18323344507160982</v>
      </c>
      <c r="D32">
        <f>SQRT(D31+D30)</f>
        <v>3.1717423947098858E-3</v>
      </c>
      <c r="E32">
        <f>EXP(E31)</f>
        <v>0.18331649199496816</v>
      </c>
    </row>
    <row r="33" spans="1:5" x14ac:dyDescent="0.25">
      <c r="B33">
        <f>B32*A32</f>
        <v>5.8774109760394101E-4</v>
      </c>
      <c r="E33">
        <f>E32*D32</f>
        <v>5.8143268930993595E-4</v>
      </c>
    </row>
    <row r="35" spans="1:5" x14ac:dyDescent="0.25">
      <c r="A35" t="s">
        <v>60</v>
      </c>
      <c r="D35" t="s">
        <v>56</v>
      </c>
    </row>
    <row r="36" spans="1:5" x14ac:dyDescent="0.25">
      <c r="A36" t="s">
        <v>73</v>
      </c>
      <c r="D36" t="s">
        <v>67</v>
      </c>
    </row>
    <row r="38" spans="1:5" x14ac:dyDescent="0.25">
      <c r="A38">
        <f>0.00040102^2</f>
        <v>1.6081704039999997E-7</v>
      </c>
      <c r="D38">
        <f>0.00039876^2</f>
        <v>1.590095376E-7</v>
      </c>
    </row>
    <row r="39" spans="1:5" x14ac:dyDescent="0.25">
      <c r="A39">
        <f>0.003179^2</f>
        <v>1.0106041E-5</v>
      </c>
      <c r="B39">
        <f>ATAN2(-0.00040102,-0.003179)</f>
        <v>-1.6962801087468917</v>
      </c>
      <c r="D39">
        <f>0.0031462^2</f>
        <v>9.89857444E-6</v>
      </c>
      <c r="E39">
        <f>ATAN2(-0.00039876,-0.0031462)</f>
        <v>-1.6968675032524398</v>
      </c>
    </row>
    <row r="40" spans="1:5" x14ac:dyDescent="0.25">
      <c r="A40">
        <f>SQRT(A39+A38)</f>
        <v>3.2041938206669083E-3</v>
      </c>
      <c r="B40">
        <f>EXP(B39)</f>
        <v>0.18336435241459431</v>
      </c>
      <c r="D40">
        <f>SQRT(D39+D38)</f>
        <v>3.1713694167662021E-3</v>
      </c>
      <c r="E40">
        <f>EXP(E39)</f>
        <v>0.18325667682859234</v>
      </c>
    </row>
    <row r="41" spans="1:5" x14ac:dyDescent="0.25">
      <c r="B41">
        <f>B40*A40</f>
        <v>5.8753492493743233E-4</v>
      </c>
      <c r="E41">
        <f>E40*D40</f>
        <v>5.8117462031240523E-4</v>
      </c>
    </row>
    <row r="43" spans="1:5" x14ac:dyDescent="0.25">
      <c r="A43" t="s">
        <v>63</v>
      </c>
      <c r="D43" t="s">
        <v>66</v>
      </c>
    </row>
    <row r="44" spans="1:5" x14ac:dyDescent="0.25">
      <c r="A44" t="s">
        <v>64</v>
      </c>
      <c r="D44" t="s">
        <v>65</v>
      </c>
    </row>
    <row r="46" spans="1:5" x14ac:dyDescent="0.25">
      <c r="A46">
        <f>0.00040094^2</f>
        <v>1.6075288360000001E-7</v>
      </c>
      <c r="D46">
        <f>0.00040004^2</f>
        <v>1.6003200159999999E-7</v>
      </c>
    </row>
    <row r="47" spans="1:5" x14ac:dyDescent="0.25">
      <c r="A47">
        <f>0.003179^2</f>
        <v>1.0106041E-5</v>
      </c>
      <c r="B47">
        <f>ATAN2(-0.00040094,-0.003179)</f>
        <v>-1.6962553377026597</v>
      </c>
      <c r="D47">
        <f>0.0031468^2</f>
        <v>9.9023502399999993E-6</v>
      </c>
      <c r="E47">
        <f>ATAN2(-0.00040004,-0.0031468)</f>
        <v>-1.6972440327312621</v>
      </c>
    </row>
    <row r="48" spans="1:5" x14ac:dyDescent="0.25">
      <c r="A48">
        <f>SQRT(A47+A46)</f>
        <v>3.2041838092718715E-3</v>
      </c>
      <c r="B48">
        <f>EXP(B47)</f>
        <v>0.18336889459733563</v>
      </c>
      <c r="D48">
        <f>SQRT(D47+D46)</f>
        <v>3.172125823733983E-3</v>
      </c>
      <c r="E48">
        <f>EXP(E47)</f>
        <v>0.18318768827650223</v>
      </c>
    </row>
    <row r="49" spans="2:5" x14ac:dyDescent="0.25">
      <c r="B49">
        <f>B48*A48</f>
        <v>5.8754764319286323E-4</v>
      </c>
      <c r="E49">
        <f>E48*D48</f>
        <v>5.8109439657202369E-4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F3FA-5869-4743-B44A-DAB0912EE419}">
  <dimension ref="A1:R312"/>
  <sheetViews>
    <sheetView workbookViewId="0">
      <selection activeCell="P30" sqref="P30"/>
    </sheetView>
  </sheetViews>
  <sheetFormatPr defaultRowHeight="15" x14ac:dyDescent="0.25"/>
  <cols>
    <col min="6" max="6" width="12" bestFit="1" customWidth="1"/>
    <col min="9" max="9" width="10" bestFit="1" customWidth="1"/>
  </cols>
  <sheetData>
    <row r="1" spans="1:18" x14ac:dyDescent="0.25">
      <c r="A1" t="s">
        <v>42</v>
      </c>
      <c r="B1" t="s">
        <v>4</v>
      </c>
      <c r="C1" t="s">
        <v>41</v>
      </c>
      <c r="F1" t="s">
        <v>6</v>
      </c>
      <c r="H1" t="s">
        <v>49</v>
      </c>
      <c r="I1">
        <v>1000</v>
      </c>
      <c r="O1" t="s">
        <v>46</v>
      </c>
      <c r="P1">
        <v>1.9572323856603929E-2</v>
      </c>
      <c r="Q1" t="s">
        <v>43</v>
      </c>
      <c r="R1">
        <v>2.0102750349637044E-2</v>
      </c>
    </row>
    <row r="2" spans="1:18" x14ac:dyDescent="0.25">
      <c r="A2">
        <f>ROW()*10</f>
        <v>20</v>
      </c>
      <c r="B2">
        <f>r_OM*SIN(r_IM*(A2+r_S))</f>
        <v>1.8277116904279977E-2</v>
      </c>
      <c r="C2">
        <f>p_OM*SIN(P_IM*(A2+p_S))</f>
        <v>7.2891489567049684E-3</v>
      </c>
      <c r="D2">
        <f>B2*EXP(C2*p_off)</f>
        <v>26.763620269846477</v>
      </c>
      <c r="F2">
        <f>C2^2+D2^2</f>
        <v>716.29142308022972</v>
      </c>
      <c r="G2">
        <f>LN(F2)</f>
        <v>6.5740870996274969</v>
      </c>
      <c r="H2" t="s">
        <v>50</v>
      </c>
      <c r="I2">
        <f>-RADIANS(I3)</f>
        <v>0</v>
      </c>
      <c r="O2" t="s">
        <v>47</v>
      </c>
      <c r="P2">
        <v>1.5580495166388937E-3</v>
      </c>
      <c r="Q2" t="s">
        <v>44</v>
      </c>
      <c r="R2">
        <v>1.5318337067582836E-3</v>
      </c>
    </row>
    <row r="3" spans="1:18" x14ac:dyDescent="0.25">
      <c r="A3">
        <f t="shared" ref="A3:A66" si="0">ROW()*10</f>
        <v>30</v>
      </c>
      <c r="B3">
        <f>r_OM*SIN(r_IM*(A3+r_S))</f>
        <v>1.8383983036439681E-2</v>
      </c>
      <c r="C3">
        <f>p_OM*SIN(P_IM*(A3+p_S))</f>
        <v>7.0013205856188903E-3</v>
      </c>
      <c r="D3">
        <f>B3*EXP(C3*p_off)</f>
        <v>20.187126615954671</v>
      </c>
      <c r="F3">
        <f>C3^2+D3^2</f>
        <v>407.52013002707548</v>
      </c>
      <c r="G3">
        <f t="shared" ref="G3:G66" si="1">LN(F3)</f>
        <v>6.0100903303002839</v>
      </c>
      <c r="I3">
        <v>0</v>
      </c>
      <c r="O3" t="s">
        <v>48</v>
      </c>
      <c r="P3">
        <v>753.37661021195242</v>
      </c>
      <c r="Q3" t="s">
        <v>45</v>
      </c>
      <c r="R3">
        <v>1788.6442242667897</v>
      </c>
    </row>
    <row r="4" spans="1:18" x14ac:dyDescent="0.25">
      <c r="A4">
        <f t="shared" si="0"/>
        <v>40</v>
      </c>
      <c r="B4">
        <f>r_OM*SIN(r_IM*(A4+r_S))</f>
        <v>1.8486386513358977E-2</v>
      </c>
      <c r="C4">
        <f>p_OM*SIN(P_IM*(A4+p_S))</f>
        <v>6.7118493766267686E-3</v>
      </c>
      <c r="D4">
        <f>B4*EXP(C4*p_off)</f>
        <v>15.197465867433543</v>
      </c>
      <c r="F4">
        <f>C4^2+D4^2</f>
        <v>230.96301384072964</v>
      </c>
      <c r="G4">
        <f t="shared" si="1"/>
        <v>5.4422575844587051</v>
      </c>
    </row>
    <row r="5" spans="1:18" x14ac:dyDescent="0.25">
      <c r="A5">
        <f t="shared" si="0"/>
        <v>50</v>
      </c>
      <c r="B5">
        <f>r_OM*SIN(r_IM*(A5+r_S))</f>
        <v>1.8584302476909353E-2</v>
      </c>
      <c r="C5">
        <f>p_OM*SIN(P_IM*(A5+p_S))</f>
        <v>6.4208032532394764E-3</v>
      </c>
      <c r="D5">
        <f>B5*EXP(C5*p_off)</f>
        <v>11.419989054684258</v>
      </c>
      <c r="F5">
        <f>C5^2+D5^2</f>
        <v>130.41619123582268</v>
      </c>
      <c r="G5">
        <f t="shared" si="1"/>
        <v>4.8707308077034881</v>
      </c>
      <c r="H5" s="12"/>
    </row>
    <row r="6" spans="1:18" x14ac:dyDescent="0.25">
      <c r="A6">
        <f t="shared" si="0"/>
        <v>60</v>
      </c>
      <c r="B6">
        <f>r_OM*SIN(r_IM*(A6+r_S))</f>
        <v>1.8677707158292336E-2</v>
      </c>
      <c r="C6">
        <f>p_OM*SIN(P_IM*(A6+p_S))</f>
        <v>6.1282505085165761E-3</v>
      </c>
      <c r="D6">
        <f>B6*EXP(C6*p_off)</f>
        <v>8.5662144308758386</v>
      </c>
      <c r="F6">
        <f>C6^2+D6^2</f>
        <v>73.38006723119976</v>
      </c>
      <c r="G6">
        <f t="shared" si="1"/>
        <v>4.2956523351327638</v>
      </c>
      <c r="H6" s="12"/>
    </row>
    <row r="7" spans="1:18" x14ac:dyDescent="0.25">
      <c r="A7">
        <f t="shared" si="0"/>
        <v>70</v>
      </c>
      <c r="B7">
        <f>r_OM*SIN(r_IM*(A7+r_S))</f>
        <v>1.8766577883809307E-2</v>
      </c>
      <c r="C7">
        <f>p_OM*SIN(P_IM*(A7+p_S))</f>
        <v>5.8342597890416294E-3</v>
      </c>
      <c r="D7">
        <f>B7*EXP(C7*p_off)</f>
        <v>6.4146345323220801</v>
      </c>
      <c r="F7">
        <f>C7^2+D7^2</f>
        <v>41.147570221846202</v>
      </c>
      <c r="G7">
        <f t="shared" si="1"/>
        <v>3.7171648785230302</v>
      </c>
      <c r="H7" s="12"/>
    </row>
    <row r="8" spans="1:18" x14ac:dyDescent="0.25">
      <c r="A8">
        <f t="shared" si="0"/>
        <v>80</v>
      </c>
      <c r="B8">
        <f>r_OM*SIN(r_IM*(A8+r_S))</f>
        <v>1.8850893080365461E-2</v>
      </c>
      <c r="C8">
        <f>p_OM*SIN(P_IM*(A8+p_S))</f>
        <v>5.5389000788144483E-3</v>
      </c>
      <c r="D8">
        <f>B8*EXP(C8*p_off)</f>
        <v>4.7956300206524922</v>
      </c>
      <c r="F8">
        <f>C8^2+D8^2</f>
        <v>22.998097974397506</v>
      </c>
      <c r="G8">
        <f t="shared" si="1"/>
        <v>3.1354115157442579</v>
      </c>
    </row>
    <row r="9" spans="1:18" x14ac:dyDescent="0.25">
      <c r="A9">
        <f t="shared" si="0"/>
        <v>90</v>
      </c>
      <c r="B9">
        <f>r_OM*SIN(r_IM*(A9+r_S))</f>
        <v>1.893063228070661E-2</v>
      </c>
      <c r="C9">
        <f>p_OM*SIN(P_IM*(A9+p_S))</f>
        <v>5.2422406830642332E-3</v>
      </c>
      <c r="D9">
        <f>B9*EXP(C9*p_off)</f>
        <v>3.5796562266762577</v>
      </c>
      <c r="F9">
        <f>C9^2+D9^2</f>
        <v>12.813966182269482</v>
      </c>
      <c r="G9">
        <f t="shared" si="1"/>
        <v>2.550535684089692</v>
      </c>
    </row>
    <row r="10" spans="1:18" x14ac:dyDescent="0.25">
      <c r="A10">
        <f t="shared" si="0"/>
        <v>100</v>
      </c>
      <c r="B10">
        <f>r_OM*SIN(r_IM*(A10+r_S))</f>
        <v>1.9005776128387553E-2</v>
      </c>
      <c r="C10">
        <f>p_OM*SIN(P_IM*(A10+p_S))</f>
        <v>4.9443512119873101E-3</v>
      </c>
      <c r="D10">
        <f>B10*EXP(C10*p_off)</f>
        <v>2.6680259989190027</v>
      </c>
      <c r="F10">
        <f>C10^2+D10^2</f>
        <v>7.1183871775166505</v>
      </c>
      <c r="G10">
        <f t="shared" si="1"/>
        <v>1.9626811797526451</v>
      </c>
    </row>
    <row r="11" spans="1:18" x14ac:dyDescent="0.25">
      <c r="A11">
        <f t="shared" si="0"/>
        <v>110</v>
      </c>
      <c r="B11">
        <f>r_OM*SIN(r_IM*(A11+r_S))</f>
        <v>1.9076306382470782E-2</v>
      </c>
      <c r="C11">
        <f>p_OM*SIN(P_IM*(A11+p_S))</f>
        <v>4.6453015644133252E-3</v>
      </c>
      <c r="D11">
        <f>B11*EXP(C11*p_off)</f>
        <v>1.9857433881698132</v>
      </c>
      <c r="F11">
        <f>C11^2+D11^2</f>
        <v>3.9431983824867536</v>
      </c>
      <c r="G11">
        <f t="shared" si="1"/>
        <v>1.3719921662057499</v>
      </c>
    </row>
    <row r="12" spans="1:18" x14ac:dyDescent="0.25">
      <c r="A12">
        <f t="shared" si="0"/>
        <v>120</v>
      </c>
      <c r="B12">
        <f>r_OM*SIN(r_IM*(A12+r_S))</f>
        <v>1.9142205921954428E-2</v>
      </c>
      <c r="C12">
        <f>p_OM*SIN(P_IM*(A12+p_S))</f>
        <v>4.3451619114037044E-3</v>
      </c>
      <c r="D12">
        <f>B12*EXP(C12*p_off)</f>
        <v>1.4759506102617344</v>
      </c>
      <c r="F12">
        <f>C12^2+D12^2</f>
        <v>2.1784490843640225</v>
      </c>
      <c r="G12">
        <f t="shared" si="1"/>
        <v>0.77861319442434584</v>
      </c>
    </row>
    <row r="13" spans="1:18" x14ac:dyDescent="0.25">
      <c r="A13">
        <f t="shared" si="0"/>
        <v>130</v>
      </c>
      <c r="B13">
        <f>r_OM*SIN(r_IM*(A13+r_S))</f>
        <v>1.920345874992832E-2</v>
      </c>
      <c r="C13">
        <f>p_OM*SIN(P_IM*(A13+p_S))</f>
        <v>4.0440026797862044E-3</v>
      </c>
      <c r="D13">
        <f>B13*EXP(C13*p_off)</f>
        <v>1.0956390571189234</v>
      </c>
      <c r="F13">
        <f>C13^2+D13^2</f>
        <v>1.2004412974421175</v>
      </c>
      <c r="G13">
        <f t="shared" si="1"/>
        <v>0.1826892370597118</v>
      </c>
    </row>
    <row r="14" spans="1:18" x14ac:dyDescent="0.25">
      <c r="A14">
        <f t="shared" si="0"/>
        <v>140</v>
      </c>
      <c r="B14">
        <f>r_OM*SIN(r_IM*(A14+r_S))</f>
        <v>1.9260049997457184E-2</v>
      </c>
      <c r="C14">
        <f>p_OM*SIN(P_IM*(A14+p_S))</f>
        <v>3.7418945356295268E-3</v>
      </c>
      <c r="D14">
        <f>B14*EXP(C14*p_off)</f>
        <v>0.81234695868293094</v>
      </c>
      <c r="F14">
        <f>C14^2+D14^2</f>
        <v>0.65992158305612325</v>
      </c>
      <c r="G14">
        <f t="shared" si="1"/>
        <v>-0.41563426457188335</v>
      </c>
    </row>
    <row r="15" spans="1:18" x14ac:dyDescent="0.25">
      <c r="A15">
        <f t="shared" si="0"/>
        <v>150</v>
      </c>
      <c r="B15">
        <f>r_OM*SIN(r_IM*(A15+r_S))</f>
        <v>1.9311965927190051E-2</v>
      </c>
      <c r="C15">
        <f>p_OM*SIN(P_IM*(A15+p_S))</f>
        <v>3.438908367661718E-3</v>
      </c>
      <c r="D15">
        <f>B15*EXP(C15*p_off)</f>
        <v>0.60162436231302785</v>
      </c>
      <c r="F15">
        <f>C15^2+D15^2</f>
        <v>0.36196369941931855</v>
      </c>
      <c r="G15">
        <f t="shared" si="1"/>
        <v>-1.0162113500317118</v>
      </c>
    </row>
    <row r="16" spans="1:18" x14ac:dyDescent="0.25">
      <c r="A16">
        <f t="shared" si="0"/>
        <v>160</v>
      </c>
      <c r="B16">
        <f>r_OM*SIN(r_IM*(A16+r_S))</f>
        <v>1.9359193936694923E-2</v>
      </c>
      <c r="C16">
        <f>p_OM*SIN(P_IM*(A16+p_S))</f>
        <v>3.1351152706363531E-3</v>
      </c>
      <c r="D16">
        <f>B16*EXP(C16*p_off)</f>
        <v>0.44509276277507792</v>
      </c>
      <c r="F16">
        <f>C16^2+D16^2</f>
        <v>0.19811739642251194</v>
      </c>
      <c r="G16">
        <f t="shared" si="1"/>
        <v>-1.6188955127652072</v>
      </c>
    </row>
    <row r="17" spans="1:7" x14ac:dyDescent="0.25">
      <c r="A17">
        <f t="shared" si="0"/>
        <v>170</v>
      </c>
      <c r="B17">
        <f>r_OM*SIN(r_IM*(A17+r_S))</f>
        <v>1.9401722561518016E-2</v>
      </c>
      <c r="C17">
        <f>p_OM*SIN(P_IM*(A17+p_S))</f>
        <v>2.8305865286503804E-3</v>
      </c>
      <c r="D17">
        <f>B17*EXP(C17*p_off)</f>
        <v>0.32896401984404128</v>
      </c>
      <c r="F17">
        <f>C17^2+D17^2</f>
        <v>0.10822533857204696</v>
      </c>
      <c r="G17">
        <f t="shared" si="1"/>
        <v>-2.2235397572501441</v>
      </c>
    </row>
    <row r="18" spans="1:7" x14ac:dyDescent="0.25">
      <c r="A18">
        <f t="shared" si="0"/>
        <v>180</v>
      </c>
      <c r="B18">
        <f>r_OM*SIN(r_IM*(A18+r_S))</f>
        <v>1.9439541477966674E-2</v>
      </c>
      <c r="C18">
        <f>p_OM*SIN(P_IM*(A18+p_S))</f>
        <v>2.525393598417529E-3</v>
      </c>
      <c r="D18">
        <f>B18*EXP(C18*p_off)</f>
        <v>0.24291286788068969</v>
      </c>
      <c r="F18">
        <f>C18^2+D18^2</f>
        <v>5.9013038994848332E-2</v>
      </c>
      <c r="G18">
        <f t="shared" si="1"/>
        <v>-2.8299968595806173</v>
      </c>
    </row>
    <row r="19" spans="1:7" x14ac:dyDescent="0.25">
      <c r="A19">
        <f t="shared" si="0"/>
        <v>190</v>
      </c>
      <c r="B19">
        <f>r_OM*SIN(r_IM*(A19+r_S))</f>
        <v>1.9472641505615458E-2</v>
      </c>
      <c r="C19">
        <f>p_OM*SIN(P_IM*(A19+p_S))</f>
        <v>2.2196080925012246E-3</v>
      </c>
      <c r="D19">
        <f>B19*EXP(C19*p_off)</f>
        <v>0.17922080143370167</v>
      </c>
      <c r="F19">
        <f>C19^2+D19^2</f>
        <v>3.2125022326622621E-2</v>
      </c>
      <c r="G19">
        <f t="shared" si="1"/>
        <v>-3.4381200407748507</v>
      </c>
    </row>
    <row r="20" spans="1:7" x14ac:dyDescent="0.25">
      <c r="A20">
        <f t="shared" si="0"/>
        <v>200</v>
      </c>
      <c r="B20">
        <f>r_OM*SIN(r_IM*(A20+r_S))</f>
        <v>1.9501014609534635E-2</v>
      </c>
      <c r="C20">
        <f>p_OM*SIN(P_IM*(A20+p_S))</f>
        <v>1.9133017625108922E-3</v>
      </c>
      <c r="D20">
        <f>B20*EXP(C20*p_off)</f>
        <v>0.13212761792357322</v>
      </c>
      <c r="F20">
        <f>C20^2+D20^2</f>
        <v>1.7461368141792173E-2</v>
      </c>
      <c r="G20">
        <f t="shared" si="1"/>
        <v>-4.0477643730041226</v>
      </c>
    </row>
    <row r="21" spans="1:7" x14ac:dyDescent="0.25">
      <c r="A21">
        <f t="shared" si="0"/>
        <v>210</v>
      </c>
      <c r="B21">
        <f>r_OM*SIN(r_IM*(A21+r_S))</f>
        <v>1.9524653902240653E-2</v>
      </c>
      <c r="C21">
        <f>p_OM*SIN(P_IM*(A21+p_S))</f>
        <v>1.6065464822657167E-3</v>
      </c>
      <c r="D21">
        <f>B21*EXP(C21*p_off)</f>
        <v>9.7341406334821398E-2</v>
      </c>
      <c r="F21">
        <f>C21^2+D21^2</f>
        <v>9.4779303788404892E-3</v>
      </c>
      <c r="G21">
        <f t="shared" si="1"/>
        <v>-4.658789301017582</v>
      </c>
    </row>
    <row r="22" spans="1:7" x14ac:dyDescent="0.25">
      <c r="A22">
        <f t="shared" si="0"/>
        <v>220</v>
      </c>
      <c r="B22">
        <f>r_OM*SIN(r_IM*(A22+r_S))</f>
        <v>1.9543553645368035E-2</v>
      </c>
      <c r="C22">
        <f>p_OM*SIN(P_IM*(A22+p_S))</f>
        <v>1.2994142309296437E-3</v>
      </c>
      <c r="D22">
        <f>B22*EXP(C22*p_off)</f>
        <v>7.1669102422741396E-2</v>
      </c>
      <c r="F22">
        <f>C22^2+D22^2</f>
        <v>5.1381487194249393E-3</v>
      </c>
      <c r="G22">
        <f t="shared" si="1"/>
        <v>-5.2710624357104363</v>
      </c>
    </row>
    <row r="23" spans="1:7" x14ac:dyDescent="0.25">
      <c r="A23">
        <f t="shared" si="0"/>
        <v>230</v>
      </c>
      <c r="B23">
        <f>r_OM*SIN(r_IM*(A23+r_S))</f>
        <v>1.9557709251062368E-2</v>
      </c>
      <c r="C23">
        <f>p_OM*SIN(P_IM*(A23+p_S))</f>
        <v>9.9197707612170205E-4</v>
      </c>
      <c r="D23">
        <f>B23*EXP(C23*p_off)</f>
        <v>5.2738546452415602E-2</v>
      </c>
      <c r="F23">
        <f>C23^2+D23^2</f>
        <v>2.7823383004331489E-3</v>
      </c>
      <c r="G23">
        <f t="shared" si="1"/>
        <v>-5.8844635895550814</v>
      </c>
    </row>
    <row r="24" spans="1:7" x14ac:dyDescent="0.25">
      <c r="A24">
        <f t="shared" si="0"/>
        <v>240</v>
      </c>
      <c r="B24">
        <f>r_OM*SIN(r_IM*(A24+r_S))</f>
        <v>1.9567117283093984E-2</v>
      </c>
      <c r="C24">
        <f>p_OM*SIN(P_IM*(A24+p_S))</f>
        <v>6.8430715700556349E-4</v>
      </c>
      <c r="D24">
        <f>B24*EXP(C24*p_off)</f>
        <v>3.8789811607311993E-2</v>
      </c>
      <c r="F24">
        <f>C24^2+D24^2</f>
        <v>1.5051177608158854E-3</v>
      </c>
      <c r="G24">
        <f t="shared" si="1"/>
        <v>-6.4988841374530946</v>
      </c>
    </row>
    <row r="25" spans="1:7" x14ac:dyDescent="0.25">
      <c r="A25">
        <f t="shared" si="0"/>
        <v>250</v>
      </c>
      <c r="B25">
        <f>r_OM*SIN(r_IM*(A25+r_S))</f>
        <v>1.9571775457692099E-2</v>
      </c>
      <c r="C25">
        <f>p_OM*SIN(P_IM*(A25+p_S))</f>
        <v>3.7647666736231395E-4</v>
      </c>
      <c r="D25">
        <f>B25*EXP(C25*p_off)</f>
        <v>2.8518847032363903E-2</v>
      </c>
      <c r="F25">
        <f>C25^2+D25^2</f>
        <v>8.1346637073643959E-4</v>
      </c>
      <c r="G25">
        <f t="shared" si="1"/>
        <v>-7.1142059711437549</v>
      </c>
    </row>
    <row r="26" spans="1:7" x14ac:dyDescent="0.25">
      <c r="A26">
        <f t="shared" si="0"/>
        <v>260</v>
      </c>
      <c r="B26">
        <f>r_OM*SIN(r_IM*(A26+r_S))</f>
        <v>1.9571682644099173E-2</v>
      </c>
      <c r="C26">
        <f>p_OM*SIN(P_IM*(A26+p_S))</f>
        <v>6.8557838650410268E-5</v>
      </c>
      <c r="D26">
        <f>B26*EXP(C26*p_off)</f>
        <v>2.0960539469163739E-2</v>
      </c>
      <c r="F26">
        <f>C26^2+D26^2</f>
        <v>4.3934891501561134E-4</v>
      </c>
      <c r="G26">
        <f t="shared" si="1"/>
        <v>-7.7302166655472391</v>
      </c>
    </row>
    <row r="27" spans="1:7" x14ac:dyDescent="0.25">
      <c r="A27">
        <f t="shared" si="0"/>
        <v>270</v>
      </c>
      <c r="B27">
        <f>r_OM*SIN(r_IM*(A27+r_S))</f>
        <v>1.9566838864845424E-2</v>
      </c>
      <c r="C27">
        <f>p_OM*SIN(P_IM*(A27+p_S))</f>
        <v>-2.393770769432058E-4</v>
      </c>
      <c r="D27">
        <f>B27*EXP(C27*p_off)</f>
        <v>1.5401411510915957E-2</v>
      </c>
      <c r="F27">
        <f>C27^2+D27^2</f>
        <v>2.3726077791354043E-4</v>
      </c>
      <c r="G27">
        <f t="shared" si="1"/>
        <v>-8.3463506929980067</v>
      </c>
    </row>
    <row r="28" spans="1:7" x14ac:dyDescent="0.25">
      <c r="A28">
        <f t="shared" si="0"/>
        <v>280</v>
      </c>
      <c r="B28">
        <f>r_OM*SIN(r_IM*(A28+r_S))</f>
        <v>1.9557245295743344E-2</v>
      </c>
      <c r="C28">
        <f>p_OM*SIN(P_IM*(A28+p_S))</f>
        <v>-5.4725582345685605E-4</v>
      </c>
      <c r="D28">
        <f>B28*EXP(C28*p_off)</f>
        <v>1.131455553963635E-2</v>
      </c>
      <c r="F28">
        <f>C28^2+D28^2</f>
        <v>1.2831865599582305E-4</v>
      </c>
      <c r="G28">
        <f t="shared" si="1"/>
        <v>-8.9609938877489341</v>
      </c>
    </row>
    <row r="29" spans="1:7" x14ac:dyDescent="0.25">
      <c r="A29">
        <f t="shared" si="0"/>
        <v>290</v>
      </c>
      <c r="B29">
        <f>r_OM*SIN(r_IM*(A29+r_S))</f>
        <v>1.9542904265602273E-2</v>
      </c>
      <c r="C29">
        <f>p_OM*SIN(P_IM*(A29+p_S))</f>
        <v>-8.5500615810876084E-4</v>
      </c>
      <c r="D29">
        <f>B29*EXP(C29*p_off)</f>
        <v>8.3112175075517845E-3</v>
      </c>
      <c r="F29">
        <f>C29^2+D29^2</f>
        <v>6.9807371988239193E-5</v>
      </c>
      <c r="G29">
        <f t="shared" si="1"/>
        <v>-9.5697709378955587</v>
      </c>
    </row>
    <row r="30" spans="1:7" x14ac:dyDescent="0.25">
      <c r="A30">
        <f t="shared" si="0"/>
        <v>300</v>
      </c>
      <c r="B30">
        <f>r_OM*SIN(r_IM*(A30+r_S))</f>
        <v>1.9523819255663089E-2</v>
      </c>
      <c r="C30">
        <f>p_OM*SIN(P_IM*(A30+p_S))</f>
        <v>-1.1625558682485805E-3</v>
      </c>
      <c r="D30">
        <f>B30*EXP(C30*p_off)</f>
        <v>6.1048244509556591E-3</v>
      </c>
      <c r="F30">
        <f>C30^2+D30^2</f>
        <v>3.8620417723785276E-5</v>
      </c>
      <c r="G30">
        <f t="shared" si="1"/>
        <v>-10.161729464766957</v>
      </c>
    </row>
    <row r="31" spans="1:7" x14ac:dyDescent="0.25">
      <c r="A31">
        <f t="shared" si="0"/>
        <v>310</v>
      </c>
      <c r="B31">
        <f>r_OM*SIN(r_IM*(A31+r_S))</f>
        <v>1.9499994898753158E-2</v>
      </c>
      <c r="C31">
        <f>p_OM*SIN(P_IM*(A31+p_S))</f>
        <v>-1.4698327883018881E-3</v>
      </c>
      <c r="D31">
        <f>B31*EXP(C31*p_off)</f>
        <v>4.4842955522221813E-3</v>
      </c>
      <c r="F31">
        <f>C31^2+D31^2</f>
        <v>2.226931502524694E-5</v>
      </c>
      <c r="G31">
        <f t="shared" si="1"/>
        <v>-10.712300834902784</v>
      </c>
    </row>
    <row r="32" spans="1:7" x14ac:dyDescent="0.25">
      <c r="A32">
        <f t="shared" si="0"/>
        <v>320</v>
      </c>
      <c r="B32">
        <f>r_OM*SIN(r_IM*(A32+r_S))</f>
        <v>1.9471436978161713E-2</v>
      </c>
      <c r="C32">
        <f>p_OM*SIN(P_IM*(A32+p_S))</f>
        <v>-1.7767648167035853E-3</v>
      </c>
      <c r="D32">
        <f>B32*EXP(C32*p_off)</f>
        <v>3.2942673945008795E-3</v>
      </c>
      <c r="F32">
        <f>C32^2+D32^2</f>
        <v>1.4009090880347338E-5</v>
      </c>
      <c r="G32">
        <f t="shared" si="1"/>
        <v>-11.175804090488354</v>
      </c>
    </row>
    <row r="33" spans="1:7" x14ac:dyDescent="0.25">
      <c r="A33">
        <f t="shared" si="0"/>
        <v>330</v>
      </c>
      <c r="B33">
        <f>r_OM*SIN(r_IM*(A33+r_S))</f>
        <v>1.9438152426235991E-2</v>
      </c>
      <c r="C33">
        <f>p_OM*SIN(P_IM*(A33+p_S))</f>
        <v>-2.0832799328163445E-3</v>
      </c>
      <c r="D33">
        <f>B33*EXP(C33*p_off)</f>
        <v>2.4204605255954393E-3</v>
      </c>
      <c r="F33">
        <f>C33^2+D33^2</f>
        <v>1.0198684434441022E-5</v>
      </c>
      <c r="G33">
        <f t="shared" si="1"/>
        <v>-11.493251823007885</v>
      </c>
    </row>
    <row r="34" spans="1:7" x14ac:dyDescent="0.25">
      <c r="A34">
        <f t="shared" si="0"/>
        <v>340</v>
      </c>
      <c r="B34">
        <f>r_OM*SIN(r_IM*(A34+r_S))</f>
        <v>1.9400149322698422E-2</v>
      </c>
      <c r="C34">
        <f>p_OM*SIN(P_IM*(A34+p_S))</f>
        <v>-2.3893062138299714E-3</v>
      </c>
      <c r="D34">
        <f>B34*EXP(C34*p_off)</f>
        <v>1.7788632723325962E-3</v>
      </c>
      <c r="F34">
        <f>C34^2+D34^2</f>
        <v>8.8731387251003459E-6</v>
      </c>
      <c r="G34">
        <f t="shared" si="1"/>
        <v>-11.632481965712797</v>
      </c>
    </row>
    <row r="35" spans="1:7" x14ac:dyDescent="0.25">
      <c r="A35">
        <f t="shared" si="0"/>
        <v>350</v>
      </c>
      <c r="B35">
        <f>r_OM*SIN(r_IM*(A35+r_S))</f>
        <v>1.9357436892685296E-2</v>
      </c>
      <c r="C35">
        <f>p_OM*SIN(P_IM*(A35+p_S))</f>
        <v>-2.6947718516379024E-3</v>
      </c>
      <c r="D35">
        <f>B35*EXP(C35*p_off)</f>
        <v>1.3077457187874006E-3</v>
      </c>
      <c r="F35">
        <f>C35^2+D35^2</f>
        <v>8.9719941973867441E-6</v>
      </c>
      <c r="G35">
        <f t="shared" si="1"/>
        <v>-11.62140258805343</v>
      </c>
    </row>
    <row r="36" spans="1:7" x14ac:dyDescent="0.25">
      <c r="A36">
        <f t="shared" si="0"/>
        <v>360</v>
      </c>
      <c r="B36">
        <f>r_OM*SIN(r_IM*(A36+r_S))</f>
        <v>1.931002550450741E-2</v>
      </c>
      <c r="C36">
        <f>p_OM*SIN(P_IM*(A36+p_S))</f>
        <v>-2.9996051696867449E-3</v>
      </c>
      <c r="D36">
        <f>B36*EXP(C36*p_off)</f>
        <v>9.6176922066507498E-4</v>
      </c>
      <c r="F36">
        <f>C36^2+D36^2</f>
        <v>9.9226312078301523E-6</v>
      </c>
      <c r="G36">
        <f t="shared" si="1"/>
        <v>-11.520692429113311</v>
      </c>
    </row>
    <row r="37" spans="1:7" x14ac:dyDescent="0.25">
      <c r="A37">
        <f t="shared" si="0"/>
        <v>370</v>
      </c>
      <c r="B37">
        <f>r_OM*SIN(r_IM*(A37+r_S))</f>
        <v>1.9257926667133159E-2</v>
      </c>
      <c r="C37">
        <f>p_OM*SIN(P_IM*(A37+p_S))</f>
        <v>-3.3037346397949514E-3</v>
      </c>
      <c r="D37">
        <f>B37*EXP(C37*p_off)</f>
        <v>7.0764559057661172E-4</v>
      </c>
      <c r="F37">
        <f>C37^2+D37^2</f>
        <v>1.1415424852043599E-5</v>
      </c>
      <c r="G37">
        <f t="shared" si="1"/>
        <v>-11.380545059924033</v>
      </c>
    </row>
    <row r="38" spans="1:7" x14ac:dyDescent="0.25">
      <c r="A38">
        <f t="shared" si="0"/>
        <v>380</v>
      </c>
      <c r="B38">
        <f>r_OM*SIN(r_IM*(A38+r_S))</f>
        <v>1.92011530273948E-2</v>
      </c>
      <c r="C38">
        <f>p_OM*SIN(P_IM*(A38+p_S))</f>
        <v>-3.607088898936686E-3</v>
      </c>
      <c r="D38">
        <f>B38*EXP(C38*p_off)</f>
        <v>5.2094095791181401E-4</v>
      </c>
      <c r="F38">
        <f>C38^2+D38^2</f>
        <v>1.3282469806462353E-5</v>
      </c>
      <c r="G38">
        <f t="shared" si="1"/>
        <v>-11.229065451805726</v>
      </c>
    </row>
    <row r="39" spans="1:7" x14ac:dyDescent="0.25">
      <c r="A39">
        <f t="shared" si="0"/>
        <v>390</v>
      </c>
      <c r="B39">
        <f>r_OM*SIN(r_IM*(A39+r_S))</f>
        <v>1.9139718366918457E-2</v>
      </c>
      <c r="C39">
        <f>p_OM*SIN(P_IM*(A39+p_S))</f>
        <v>-3.9095967659869236E-3</v>
      </c>
      <c r="D39">
        <f>B39*EXP(C39*p_off)</f>
        <v>3.8372424572794071E-4</v>
      </c>
      <c r="F39">
        <f>C39^2+D39^2</f>
        <v>1.543219116937489E-5</v>
      </c>
      <c r="G39">
        <f t="shared" si="1"/>
        <v>-11.0790548945828</v>
      </c>
    </row>
    <row r="40" spans="1:7" x14ac:dyDescent="0.25">
      <c r="A40">
        <f t="shared" si="0"/>
        <v>400</v>
      </c>
      <c r="B40">
        <f>r_OM*SIN(r_IM*(A40+r_S))</f>
        <v>1.9073637598778684E-2</v>
      </c>
      <c r="C40">
        <f>p_OM*SIN(P_IM*(A40+p_S))</f>
        <v>-4.2111872584239167E-3</v>
      </c>
      <c r="D40">
        <f>B40*EXP(C40*p_off)</f>
        <v>2.8283824782546874E-4</v>
      </c>
      <c r="F40">
        <f>C40^2+D40^2</f>
        <v>1.7814095599944925E-5</v>
      </c>
      <c r="G40">
        <f t="shared" si="1"/>
        <v>-10.935520526406465</v>
      </c>
    </row>
    <row r="41" spans="1:7" x14ac:dyDescent="0.25">
      <c r="A41">
        <f t="shared" si="0"/>
        <v>410</v>
      </c>
      <c r="B41">
        <f>r_OM*SIN(r_IM*(A41+r_S))</f>
        <v>1.9002926763878342E-2</v>
      </c>
      <c r="C41">
        <f>p_OM*SIN(P_IM*(A41+p_S))</f>
        <v>-4.5117896089849618E-3</v>
      </c>
      <c r="D41">
        <f>B41*EXP(C41*p_off)</f>
        <v>2.0862923419640437E-4</v>
      </c>
      <c r="F41">
        <f>C41^2+D41^2</f>
        <v>2.0399771633106053E-5</v>
      </c>
      <c r="G41">
        <f t="shared" si="1"/>
        <v>-10.799986851632347</v>
      </c>
    </row>
    <row r="42" spans="1:7" x14ac:dyDescent="0.25">
      <c r="A42">
        <f t="shared" si="0"/>
        <v>420</v>
      </c>
      <c r="B42">
        <f>r_OM*SIN(r_IM*(A42+r_S))</f>
        <v>1.8927603027054745E-2</v>
      </c>
      <c r="C42">
        <f>p_OM*SIN(P_IM*(A42+p_S))</f>
        <v>-4.8113332822717582E-3</v>
      </c>
      <c r="D42">
        <f>B42*EXP(C42*p_off)</f>
        <v>1.5401397282657021E-4</v>
      </c>
      <c r="F42">
        <f>C42^2+D42^2</f>
        <v>2.3172648256921756E-5</v>
      </c>
      <c r="G42">
        <f t="shared" si="1"/>
        <v>-10.672537929248533</v>
      </c>
    </row>
    <row r="43" spans="1:7" x14ac:dyDescent="0.25">
      <c r="A43">
        <f t="shared" si="0"/>
        <v>430</v>
      </c>
      <c r="B43">
        <f>r_OM*SIN(r_IM*(A43+r_S))</f>
        <v>1.884768467291293E-2</v>
      </c>
      <c r="C43">
        <f>p_OM*SIN(P_IM*(A43+p_S))</f>
        <v>-5.1097479913013045E-3</v>
      </c>
      <c r="D43">
        <f>B43*EXP(C43*p_off)</f>
        <v>1.1379486128530939E-4</v>
      </c>
      <c r="F43">
        <f>C43^2+D43^2</f>
        <v>2.6122473805062657E-5</v>
      </c>
      <c r="G43">
        <f t="shared" si="1"/>
        <v>-10.552714548811634</v>
      </c>
    </row>
    <row r="44" spans="1:7" x14ac:dyDescent="0.25">
      <c r="A44">
        <f t="shared" si="0"/>
        <v>440</v>
      </c>
      <c r="B44">
        <f>r_OM*SIN(r_IM*(A44+r_S))</f>
        <v>1.8763191101387137E-2</v>
      </c>
      <c r="C44">
        <f>p_OM*SIN(P_IM*(A44+p_S))</f>
        <v>-5.4069637139985182E-3</v>
      </c>
      <c r="D44">
        <f>B44*EXP(C44*p_off)</f>
        <v>8.4157378158910396E-5</v>
      </c>
      <c r="F44">
        <f>C44^2+D44^2</f>
        <v>2.9242339068795233E-5</v>
      </c>
      <c r="G44">
        <f t="shared" si="1"/>
        <v>-10.439892930769334</v>
      </c>
    </row>
    <row r="45" spans="1:7" x14ac:dyDescent="0.25">
      <c r="A45">
        <f t="shared" si="0"/>
        <v>450</v>
      </c>
      <c r="B45">
        <f>r_OM*SIN(r_IM*(A45+r_S))</f>
        <v>1.8674142823031523E-2</v>
      </c>
      <c r="C45">
        <f>p_OM*SIN(P_IM*(A45+p_S))</f>
        <v>-5.7029107096266997E-3</v>
      </c>
      <c r="D45">
        <f>B45*EXP(C45*p_off)</f>
        <v>6.2301431285656655E-5</v>
      </c>
      <c r="F45">
        <f>C45^2+D45^2</f>
        <v>3.2527072030315146E-5</v>
      </c>
      <c r="G45">
        <f t="shared" si="1"/>
        <v>-10.333437829820346</v>
      </c>
    </row>
    <row r="46" spans="1:7" x14ac:dyDescent="0.25">
      <c r="A46">
        <f t="shared" si="0"/>
        <v>460</v>
      </c>
      <c r="B46">
        <f>r_OM*SIN(r_IM*(A46+r_S))</f>
        <v>1.8580561454041293E-2</v>
      </c>
      <c r="C46">
        <f>p_OM*SIN(P_IM*(A46+p_S))</f>
        <v>-5.9975195351519642E-3</v>
      </c>
      <c r="D46">
        <f>B46*EXP(C46*p_off)</f>
        <v>4.6170990746538466E-5</v>
      </c>
      <c r="F46">
        <f>C46^2+D46^2</f>
        <v>3.5972372334915944E-5</v>
      </c>
      <c r="G46">
        <f t="shared" si="1"/>
        <v>-10.232759349278485</v>
      </c>
    </row>
    <row r="47" spans="1:7" x14ac:dyDescent="0.25">
      <c r="A47">
        <f t="shared" si="0"/>
        <v>470</v>
      </c>
      <c r="B47">
        <f>r_OM*SIN(r_IM*(A47+r_S))</f>
        <v>1.8482469711005454E-2</v>
      </c>
      <c r="C47">
        <f>p_OM*SIN(P_IM*(A47+p_S))</f>
        <v>-6.290721061537872E-3</v>
      </c>
      <c r="D47">
        <f>B47*EXP(C47*p_off)</f>
        <v>3.4255835066374322E-5</v>
      </c>
      <c r="F47">
        <f>C47^2+D47^2</f>
        <v>3.9574344936312265E-5</v>
      </c>
      <c r="G47">
        <f t="shared" si="1"/>
        <v>-10.137329504796295</v>
      </c>
    </row>
    <row r="48" spans="1:7" x14ac:dyDescent="0.25">
      <c r="A48">
        <f t="shared" si="0"/>
        <v>480</v>
      </c>
      <c r="B48">
        <f>r_OM*SIN(r_IM*(A48+r_S))</f>
        <v>1.8379891405392396E-2</v>
      </c>
      <c r="C48">
        <f>p_OM*SIN(P_IM*(A48+p_S))</f>
        <v>-6.5824464899662781E-3</v>
      </c>
      <c r="D48">
        <f>B48*EXP(C48*p_off)</f>
        <v>2.5446189265571409E-5</v>
      </c>
      <c r="F48">
        <f>C48^2+D48^2</f>
        <v>4.3329249301817517E-5</v>
      </c>
      <c r="G48">
        <f t="shared" si="1"/>
        <v>-10.046682647499452</v>
      </c>
    </row>
    <row r="49" spans="1:7" x14ac:dyDescent="0.25">
      <c r="A49">
        <f t="shared" si="0"/>
        <v>490</v>
      </c>
      <c r="B49">
        <f>r_OM*SIN(r_IM*(A49+r_S))</f>
        <v>1.8272851437769761E-2</v>
      </c>
      <c r="C49">
        <f>p_OM*SIN(P_IM*(A49+p_S))</f>
        <v>-6.8726273679808082E-3</v>
      </c>
      <c r="D49">
        <f>B49*EXP(C49*p_off)</f>
        <v>1.8926145792360638E-5</v>
      </c>
      <c r="F49">
        <f>C49^2+D49^2</f>
        <v>4.7233365138113369E-5</v>
      </c>
      <c r="G49">
        <f t="shared" si="1"/>
        <v>-9.9604100265814228</v>
      </c>
    </row>
    <row r="50" spans="1:7" x14ac:dyDescent="0.25">
      <c r="A50">
        <f t="shared" si="0"/>
        <v>500</v>
      </c>
      <c r="B50">
        <f>r_OM*SIN(r_IM*(A50+r_S))</f>
        <v>1.8161375791759894E-2</v>
      </c>
      <c r="C50">
        <f>p_OM*SIN(P_IM*(A50+p_S))</f>
        <v>-7.161195605548989E-3</v>
      </c>
      <c r="D50">
        <f>B50*EXP(C50*p_off)</f>
        <v>1.4095516994753653E-5</v>
      </c>
      <c r="F50">
        <f>C50^2+D50^2</f>
        <v>5.1282921184533501E-5</v>
      </c>
      <c r="G50">
        <f t="shared" si="1"/>
        <v>-9.878152781597306</v>
      </c>
    </row>
    <row r="51" spans="1:7" x14ac:dyDescent="0.25">
      <c r="A51">
        <f t="shared" si="0"/>
        <v>510</v>
      </c>
      <c r="B51">
        <f>r_OM*SIN(r_IM*(A51+r_S))</f>
        <v>1.8045491527732407E-2</v>
      </c>
      <c r="C51">
        <f>p_OM*SIN(P_IM*(A51+p_S))</f>
        <v>-7.4480834910393718E-3</v>
      </c>
      <c r="D51">
        <f>B51*EXP(C51*p_off)</f>
        <v>1.0512527746374049E-5</v>
      </c>
      <c r="F51">
        <f>C51^2+D51^2</f>
        <v>5.5474058202732853E-5</v>
      </c>
      <c r="G51">
        <f t="shared" si="1"/>
        <v>-9.7995950662571385</v>
      </c>
    </row>
    <row r="52" spans="1:7" x14ac:dyDescent="0.25">
      <c r="A52">
        <f t="shared" si="0"/>
        <v>520</v>
      </c>
      <c r="B52">
        <f>r_OM*SIN(r_IM*(A52+r_S))</f>
        <v>1.7925226776235346E-2</v>
      </c>
      <c r="C52">
        <f>p_OM*SIN(P_IM*(A52+p_S))</f>
        <v>-7.733223707109849E-3</v>
      </c>
      <c r="D52">
        <f>B52*EXP(C52*p_off)</f>
        <v>7.851782763743895E-6</v>
      </c>
      <c r="F52">
        <f>C52^2+D52^2</f>
        <v>5.9802810554698367E-5</v>
      </c>
      <c r="G52">
        <f t="shared" si="1"/>
        <v>-9.7244578988696695</v>
      </c>
    </row>
    <row r="53" spans="1:7" x14ac:dyDescent="0.25">
      <c r="A53">
        <f t="shared" si="0"/>
        <v>530</v>
      </c>
      <c r="B53">
        <f>r_OM*SIN(r_IM*(A53+r_S))</f>
        <v>1.7800610731166597E-2</v>
      </c>
      <c r="C53">
        <f>p_OM*SIN(P_IM*(A53+p_S))</f>
        <v>-8.0165493465034487E-3</v>
      </c>
      <c r="D53">
        <f>B53*EXP(C53*p_off)</f>
        <v>5.8734294693563777E-6</v>
      </c>
      <c r="F53">
        <f>C53^2+D53^2</f>
        <v>6.4265097922098594E-5</v>
      </c>
      <c r="G53">
        <f t="shared" si="1"/>
        <v>-9.6524938746797169</v>
      </c>
    </row>
    <row r="54" spans="1:7" x14ac:dyDescent="0.25">
      <c r="A54">
        <f t="shared" si="0"/>
        <v>540</v>
      </c>
      <c r="B54">
        <f>r_OM*SIN(r_IM*(A54+r_S))</f>
        <v>1.7671673642687159E-2</v>
      </c>
      <c r="C54">
        <f>p_OM*SIN(P_IM*(A54+p_S))</f>
        <v>-8.2979939277479514E-3</v>
      </c>
      <c r="D54">
        <f>B54*EXP(C54*p_off)</f>
        <v>4.4005271901987573E-6</v>
      </c>
      <c r="F54">
        <f>C54^2+D54^2</f>
        <v>6.8856722589581438E-5</v>
      </c>
      <c r="G54">
        <f t="shared" si="1"/>
        <v>-9.5834826964584217</v>
      </c>
    </row>
    <row r="55" spans="1:7" x14ac:dyDescent="0.25">
      <c r="A55">
        <f t="shared" si="0"/>
        <v>550</v>
      </c>
      <c r="B55">
        <f>r_OM*SIN(r_IM*(A55+r_S))</f>
        <v>1.7538446809877997E-2</v>
      </c>
      <c r="C55">
        <f>p_OM*SIN(P_IM*(A55+p_S))</f>
        <v>-8.5774914107554986E-3</v>
      </c>
      <c r="D55">
        <f>B55*EXP(C55*p_off)</f>
        <v>3.3024324398540705E-6</v>
      </c>
      <c r="F55">
        <f>C55^2+D55^2</f>
        <v>7.3573369807644368E-5</v>
      </c>
      <c r="G55">
        <f t="shared" si="1"/>
        <v>-9.5172274209689771</v>
      </c>
    </row>
    <row r="56" spans="1:7" x14ac:dyDescent="0.25">
      <c r="A56">
        <f t="shared" si="0"/>
        <v>560</v>
      </c>
      <c r="B56">
        <f>r_OM*SIN(r_IM*(A56+r_S))</f>
        <v>1.7400962573142293E-2</v>
      </c>
      <c r="C56">
        <f>p_OM*SIN(P_IM*(A56+p_S))</f>
        <v>-8.854976212318736E-3</v>
      </c>
      <c r="D56">
        <f>B56*EXP(C56*p_off)</f>
        <v>2.482595515310281E-6</v>
      </c>
      <c r="F56">
        <f>C56^2+D56^2</f>
        <v>7.8410609884011162E-5</v>
      </c>
      <c r="G56">
        <f t="shared" si="1"/>
        <v>-9.453551309611008</v>
      </c>
    </row>
    <row r="57" spans="1:7" x14ac:dyDescent="0.25">
      <c r="A57">
        <f t="shared" si="0"/>
        <v>570</v>
      </c>
      <c r="B57">
        <f>r_OM*SIN(r_IM*(A57+r_S))</f>
        <v>1.7259254306354936E-2</v>
      </c>
      <c r="C57">
        <f>p_OM*SIN(P_IM*(A57+p_S))</f>
        <v>-9.1303832214996942E-3</v>
      </c>
      <c r="D57">
        <f>B57*EXP(C57*p_off)</f>
        <v>1.8695925859109119E-6</v>
      </c>
      <c r="F57">
        <f>C57^2+D57^2</f>
        <v>8.3363901266819565E-5</v>
      </c>
      <c r="G57">
        <f t="shared" si="1"/>
        <v>-9.3922951808285511</v>
      </c>
    </row>
    <row r="58" spans="1:7" x14ac:dyDescent="0.25">
      <c r="A58">
        <f t="shared" si="0"/>
        <v>580</v>
      </c>
      <c r="B58">
        <f>r_OM*SIN(r_IM*(A58+r_S))</f>
        <v>1.7113356408761063E-2</v>
      </c>
      <c r="C58">
        <f>p_OM*SIN(P_IM*(A58+p_S))</f>
        <v>-9.4036478149078645E-3</v>
      </c>
      <c r="D58">
        <f>B58*EXP(C58*p_off)</f>
        <v>1.4105316629450873E-6</v>
      </c>
      <c r="F58">
        <f>C58^2+D58^2</f>
        <v>8.8428594216421024E-5</v>
      </c>
      <c r="G58">
        <f t="shared" si="1"/>
        <v>-9.3333151766372104</v>
      </c>
    </row>
    <row r="59" spans="1:7" x14ac:dyDescent="0.25">
      <c r="A59">
        <f t="shared" si="0"/>
        <v>590</v>
      </c>
      <c r="B59">
        <f>r_OM*SIN(r_IM*(A59+r_S))</f>
        <v>1.6963304296625813E-2</v>
      </c>
      <c r="C59">
        <f>p_OM*SIN(P_IM*(A59+p_S))</f>
        <v>-9.6747058718638802E-3</v>
      </c>
      <c r="D59">
        <f>B59*EXP(C59*p_off)</f>
        <v>1.0662009829401558E-6</v>
      </c>
      <c r="F59">
        <f>C59^2+D59^2</f>
        <v>9.3599934843861986E-5</v>
      </c>
      <c r="G59">
        <f t="shared" si="1"/>
        <v>-9.2764808705935557</v>
      </c>
    </row>
    <row r="60" spans="1:7" x14ac:dyDescent="0.25">
      <c r="A60">
        <f t="shared" si="0"/>
        <v>600</v>
      </c>
      <c r="B60">
        <f>r_OM*SIN(r_IM*(A60+r_S))</f>
        <v>1.680913439463708E-2</v>
      </c>
      <c r="C60">
        <f>p_OM*SIN(P_IM*(A60+p_S))</f>
        <v>-9.943493789445217E-3</v>
      </c>
      <c r="D60">
        <f>B60*EXP(C60*p_off)</f>
        <v>8.0749690408248364E-7</v>
      </c>
      <c r="F60">
        <f>C60^2+D60^2</f>
        <v>9.8873069392786846E-5</v>
      </c>
      <c r="G60">
        <f t="shared" si="1"/>
        <v>-9.2216736578037555</v>
      </c>
    </row>
    <row r="61" spans="1:7" x14ac:dyDescent="0.25">
      <c r="A61">
        <f t="shared" si="0"/>
        <v>610</v>
      </c>
      <c r="B61">
        <f>r_OM*SIN(r_IM*(A61+r_S))</f>
        <v>1.665088412706358E-2</v>
      </c>
      <c r="C61">
        <f>p_OM*SIN(P_IM*(A61+p_S))</f>
        <v>-1.0209948497410458E-2</v>
      </c>
      <c r="D61">
        <f>B61*EXP(C61*p_off)</f>
        <v>6.127918852756263E-7</v>
      </c>
      <c r="F61">
        <f>C61^2+D61^2</f>
        <v>1.0424304869528797E-4</v>
      </c>
      <c r="G61">
        <f t="shared" si="1"/>
        <v>-9.1687853786904085</v>
      </c>
    </row>
    <row r="62" spans="1:7" x14ac:dyDescent="0.25">
      <c r="A62">
        <f t="shared" si="0"/>
        <v>620</v>
      </c>
      <c r="B62">
        <f>r_OM*SIN(r_IM*(A62+r_S))</f>
        <v>1.6488591908670178E-2</v>
      </c>
      <c r="C62">
        <f>p_OM*SIN(P_IM*(A62+p_S))</f>
        <v>-1.0474007472998474E-2</v>
      </c>
      <c r="D62">
        <f>B62*EXP(C62*p_off)</f>
        <v>4.6599356605013066E-7</v>
      </c>
      <c r="F62">
        <f>C62^2+D62^2</f>
        <v>1.0970483276157788E-4</v>
      </c>
      <c r="G62">
        <f t="shared" si="1"/>
        <v>-9.1177171373090786</v>
      </c>
    </row>
    <row r="63" spans="1:7" x14ac:dyDescent="0.25">
      <c r="A63">
        <f t="shared" si="0"/>
        <v>630</v>
      </c>
      <c r="B63">
        <f>r_OM*SIN(r_IM*(A63+r_S))</f>
        <v>1.6322297135392877E-2</v>
      </c>
      <c r="C63">
        <f>p_OM*SIN(P_IM*(A63+p_S))</f>
        <v>-1.0735608755599238E-2</v>
      </c>
      <c r="D63">
        <f>B63*EXP(C63*p_off)</f>
        <v>3.5511223620824042E-7</v>
      </c>
      <c r="F63">
        <f>C63^2+D63^2</f>
        <v>1.1525329547940374E-4</v>
      </c>
      <c r="G63">
        <f t="shared" si="1"/>
        <v>-9.0683782823149439</v>
      </c>
    </row>
    <row r="64" spans="1:7" x14ac:dyDescent="0.25">
      <c r="A64">
        <f t="shared" si="0"/>
        <v>640</v>
      </c>
      <c r="B64">
        <f>r_OM*SIN(r_IM*(A64+r_S))</f>
        <v>1.6152040174775516E-2</v>
      </c>
      <c r="C64">
        <f>p_OM*SIN(P_IM*(A64+p_S))</f>
        <v>-1.0994690961292656E-2</v>
      </c>
      <c r="D64">
        <f>B64*EXP(C64*p_off)</f>
        <v>2.712025517075815E-7</v>
      </c>
      <c r="F64">
        <f>C64^2+D64^2</f>
        <v>1.2088322940788126E-4</v>
      </c>
      <c r="G64">
        <f t="shared" si="1"/>
        <v>-9.0206855245402942</v>
      </c>
    </row>
    <row r="65" spans="1:7" x14ac:dyDescent="0.25">
      <c r="A65">
        <f t="shared" si="0"/>
        <v>650</v>
      </c>
      <c r="B65">
        <f>r_OM*SIN(r_IM*(A65+r_S))</f>
        <v>1.5977862356170727E-2</v>
      </c>
      <c r="C65">
        <f>p_OM*SIN(P_IM*(A65+p_S))</f>
        <v>-1.1251193297252139E-2</v>
      </c>
      <c r="D65">
        <f>B65*EXP(C65*p_off)</f>
        <v>2.0758095790364989E-7</v>
      </c>
      <c r="F65">
        <f>C65^2+D65^2</f>
        <v>1.2658935065522131E-4</v>
      </c>
      <c r="G65">
        <f t="shared" si="1"/>
        <v>-8.9745621698395439</v>
      </c>
    </row>
    <row r="66" spans="1:7" x14ac:dyDescent="0.25">
      <c r="A66">
        <f t="shared" si="0"/>
        <v>660</v>
      </c>
      <c r="B66">
        <f>r_OM*SIN(r_IM*(A66+r_S))</f>
        <v>1.5799805960707323E-2</v>
      </c>
      <c r="C66">
        <f>p_OM*SIN(P_IM*(A66+p_S))</f>
        <v>-1.1505055576009428E-2</v>
      </c>
      <c r="D66">
        <f>B66*EXP(C66*p_off)</f>
        <v>1.5924639246974342E-7</v>
      </c>
      <c r="F66">
        <f>C66^2+D66^2</f>
        <v>1.3236630383242504E-4</v>
      </c>
      <c r="G66">
        <f t="shared" si="1"/>
        <v>-8.9299374496289392</v>
      </c>
    </row>
    <row r="67" spans="1:7" x14ac:dyDescent="0.25">
      <c r="A67">
        <f t="shared" ref="A67:A130" si="2">ROW()*10</f>
        <v>670</v>
      </c>
      <c r="B67">
        <f>r_OM*SIN(r_IM*(A67+r_S))</f>
        <v>1.561791421102671E-2</v>
      </c>
      <c r="C67">
        <f>p_OM*SIN(P_IM*(A67+p_S))</f>
        <v>-1.1756218229577398E-2</v>
      </c>
      <c r="D67">
        <f>B67*EXP(C67*p_off)</f>
        <v>1.2245099763592394E-7</v>
      </c>
      <c r="F67">
        <f>C67^2+D67^2</f>
        <v>1.3820866707644217E-4</v>
      </c>
      <c r="G67">
        <f t="shared" ref="G67:G130" si="3">LN(F67)</f>
        <v>-8.8867459345852637</v>
      </c>
    </row>
    <row r="68" spans="1:7" x14ac:dyDescent="0.25">
      <c r="A68">
        <f t="shared" si="2"/>
        <v>680</v>
      </c>
      <c r="B68">
        <f>r_OM*SIN(r_IM*(A68+r_S))</f>
        <v>1.5432231260790697E-2</v>
      </c>
      <c r="C68">
        <f>p_OM*SIN(P_IM*(A68+p_S))</f>
        <v>-1.2004622323427524E-2</v>
      </c>
      <c r="D68">
        <f>B68*EXP(C68*p_off)</f>
        <v>9.4381633687089459E-8</v>
      </c>
      <c r="F68">
        <f>C68^2+D68^2</f>
        <v>1.4411095713704234E-4</v>
      </c>
      <c r="G68">
        <f t="shared" si="3"/>
        <v>-8.8449270194245742</v>
      </c>
    </row>
    <row r="69" spans="1:7" x14ac:dyDescent="0.25">
      <c r="A69">
        <f t="shared" si="2"/>
        <v>690</v>
      </c>
      <c r="B69">
        <f>r_OM*SIN(r_IM*(A69+r_S))</f>
        <v>1.5242802183963369E-2</v>
      </c>
      <c r="C69">
        <f>p_OM*SIN(P_IM*(A69+p_S))</f>
        <v>-1.2250209570318641E-2</v>
      </c>
      <c r="D69">
        <f>B69*EXP(C69*p_off)</f>
        <v>7.2923313671685118E-8</v>
      </c>
      <c r="F69">
        <f>C69^2+D69^2</f>
        <v>1.5006763452204424E-4</v>
      </c>
      <c r="G69">
        <f t="shared" si="3"/>
        <v>-8.8044244686778121</v>
      </c>
    </row>
    <row r="70" spans="1:7" x14ac:dyDescent="0.25">
      <c r="A70">
        <f t="shared" si="2"/>
        <v>700</v>
      </c>
      <c r="B70">
        <f>r_OM*SIN(r_IM*(A70+r_S))</f>
        <v>1.5049672963869489E-2</v>
      </c>
      <c r="C70">
        <f>p_OM*SIN(P_IM*(A70+p_S))</f>
        <v>-1.2492922343973893E-2</v>
      </c>
      <c r="D70">
        <f>B70*EXP(C70*p_off)</f>
        <v>5.6483269258041844E-8</v>
      </c>
      <c r="F70">
        <f>C70^2+D70^2</f>
        <v>1.5607310869575249E-4</v>
      </c>
      <c r="G70">
        <f t="shared" si="3"/>
        <v>-8.7651860150091423</v>
      </c>
    </row>
    <row r="71" spans="1:7" x14ac:dyDescent="0.25">
      <c r="A71">
        <f t="shared" si="2"/>
        <v>710</v>
      </c>
      <c r="B71">
        <f>r_OM*SIN(r_IM*(A71+r_S))</f>
        <v>1.4852890482032189E-2</v>
      </c>
      <c r="C71">
        <f>p_OM*SIN(P_IM*(A71+p_S))</f>
        <v>-1.2732703692602546E-2</v>
      </c>
      <c r="D71">
        <f>B71*EXP(C71*p_off)</f>
        <v>4.3859939207207414E-8</v>
      </c>
      <c r="F71">
        <f>C71^2+D71^2</f>
        <v>1.6212174332553821E-4</v>
      </c>
      <c r="G71">
        <f t="shared" si="3"/>
        <v>-8.7271630029586387</v>
      </c>
    </row>
    <row r="72" spans="1:7" x14ac:dyDescent="0.25">
      <c r="A72">
        <f t="shared" si="2"/>
        <v>720</v>
      </c>
      <c r="B72">
        <f>r_OM*SIN(r_IM*(A72+r_S))</f>
        <v>1.4652502506792651E-2</v>
      </c>
      <c r="C72">
        <f>p_OM*SIN(P_IM*(A72+p_S))</f>
        <v>-1.2969497352263555E-2</v>
      </c>
      <c r="D72">
        <f>B72*EXP(C72*p_off)</f>
        <v>3.4145279434912579E-8</v>
      </c>
      <c r="F72">
        <f>C72^2+D72^2</f>
        <v>1.6820786157153726E-4</v>
      </c>
      <c r="G72">
        <f t="shared" si="3"/>
        <v>-8.6903100720911794</v>
      </c>
    </row>
    <row r="73" spans="1:7" x14ac:dyDescent="0.25">
      <c r="A73">
        <f t="shared" si="2"/>
        <v>730</v>
      </c>
      <c r="B73">
        <f>r_OM*SIN(r_IM*(A73+r_S))</f>
        <v>1.4448557681714451E-2</v>
      </c>
      <c r="C73">
        <f>p_OM*SIN(P_IM*(A73+p_S))</f>
        <v>-1.320324776006771E-2</v>
      </c>
      <c r="D73">
        <f>B73*EXP(C73*p_off)</f>
        <v>2.6651818723272567E-8</v>
      </c>
      <c r="F73">
        <f>C73^2+D73^2</f>
        <v>1.743257514144433E-4</v>
      </c>
      <c r="G73">
        <f t="shared" si="3"/>
        <v>-8.6545848744437546</v>
      </c>
    </row>
    <row r="74" spans="1:7" x14ac:dyDescent="0.25">
      <c r="A74">
        <f t="shared" si="2"/>
        <v>740</v>
      </c>
      <c r="B74">
        <f>r_OM*SIN(r_IM*(A74+r_S))</f>
        <v>1.4241105513775526E-2</v>
      </c>
      <c r="C74">
        <f>p_OM*SIN(P_IM*(A74+p_S))</f>
        <v>-1.3433900067215294E-2</v>
      </c>
      <c r="D74">
        <f>B74*EXP(C74*p_off)</f>
        <v>2.0858113893641677E-8</v>
      </c>
      <c r="F74">
        <f>C74^2+D74^2</f>
        <v>1.8046967101636215E-4</v>
      </c>
      <c r="G74">
        <f t="shared" si="3"/>
        <v>-8.619947821919741</v>
      </c>
    </row>
    <row r="75" spans="1:7" x14ac:dyDescent="0.25">
      <c r="A75">
        <f t="shared" si="2"/>
        <v>750</v>
      </c>
      <c r="B75">
        <f>r_OM*SIN(r_IM*(A75+r_S))</f>
        <v>1.4030196361350467E-2</v>
      </c>
      <c r="C75">
        <f>p_OM*SIN(P_IM*(A75+p_S))</f>
        <v>-1.3661400151866216E-2</v>
      </c>
      <c r="D75">
        <f>B75*EXP(C75*p_off)</f>
        <v>1.6367903211799689E-8</v>
      </c>
      <c r="F75">
        <f>C75^2+D75^2</f>
        <v>1.8663385410967818E-4</v>
      </c>
      <c r="G75">
        <f t="shared" si="3"/>
        <v>-8.5863618599098732</v>
      </c>
    </row>
    <row r="76" spans="1:7" x14ac:dyDescent="0.25">
      <c r="A76">
        <f t="shared" si="2"/>
        <v>760</v>
      </c>
      <c r="B76">
        <f>r_OM*SIN(r_IM*(A76+r_S))</f>
        <v>1.3815881421986217E-2</v>
      </c>
      <c r="C76">
        <f>p_OM*SIN(P_IM*(A76+p_S))</f>
        <v>-1.3885694631839474E-2</v>
      </c>
      <c r="D76">
        <f>B76*EXP(C76*p_off)</f>
        <v>1.287947146197863E-8</v>
      </c>
      <c r="F76">
        <f>C76^2+D76^2</f>
        <v>1.9281251540886145E-4</v>
      </c>
      <c r="G76">
        <f t="shared" si="3"/>
        <v>-8.5537922639482709</v>
      </c>
    </row>
    <row r="77" spans="1:7" x14ac:dyDescent="0.25">
      <c r="A77">
        <f t="shared" si="2"/>
        <v>770</v>
      </c>
      <c r="B77">
        <f>r_OM*SIN(r_IM*(A77+r_S))</f>
        <v>1.3598212719973982E-2</v>
      </c>
      <c r="C77">
        <f>p_OM*SIN(P_IM*(A77+p_S))</f>
        <v>-1.4106730877139151E-2</v>
      </c>
      <c r="D77">
        <f>B77*EXP(C77*p_off)</f>
        <v>1.0162637930534075E-8</v>
      </c>
      <c r="F77">
        <f>C77^2+D77^2</f>
        <v>1.9899985604013439E-4</v>
      </c>
      <c r="G77">
        <f t="shared" si="3"/>
        <v>-8.5222064566564537</v>
      </c>
    </row>
    <row r="78" spans="1:7" x14ac:dyDescent="0.25">
      <c r="A78">
        <f t="shared" si="2"/>
        <v>780</v>
      </c>
      <c r="B78">
        <f>r_OM*SIN(r_IM*(A78+r_S))</f>
        <v>1.3377243093720542E-2</v>
      </c>
      <c r="C78">
        <f>p_OM*SIN(P_IM*(A78+p_S))</f>
        <v>-1.4324457022303876E-2</v>
      </c>
      <c r="D78">
        <f>B78*EXP(C78*p_off)</f>
        <v>8.0414428200658808E-9</v>
      </c>
      <c r="F78">
        <f>C78^2+D78^2</f>
        <v>2.0519006898389551E-4</v>
      </c>
      <c r="G78">
        <f t="shared" si="3"/>
        <v>-8.4915738426034633</v>
      </c>
    </row>
    <row r="79" spans="1:7" x14ac:dyDescent="0.25">
      <c r="A79">
        <f t="shared" si="2"/>
        <v>790</v>
      </c>
      <c r="B79">
        <f>r_OM*SIN(r_IM*(A79+r_S))</f>
        <v>1.3153026182921846E-2</v>
      </c>
      <c r="C79">
        <f>p_OM*SIN(P_IM*(A79+p_S))</f>
        <v>-1.4538821978576888E-2</v>
      </c>
      <c r="D79">
        <f>B79*EXP(C79*p_off)</f>
        <v>6.3810996377218262E-9</v>
      </c>
      <c r="F79">
        <f>C79^2+D79^2</f>
        <v>2.1137734452479111E-4</v>
      </c>
      <c r="G79">
        <f t="shared" si="3"/>
        <v>-8.4618656590280192</v>
      </c>
    </row>
    <row r="80" spans="1:7" x14ac:dyDescent="0.25">
      <c r="A80">
        <f t="shared" si="2"/>
        <v>800</v>
      </c>
      <c r="B80">
        <f>r_OM*SIN(r_IM*(A80+r_S))</f>
        <v>1.2925616415542181E-2</v>
      </c>
      <c r="C80">
        <f>p_OM*SIN(P_IM*(A80+p_S))</f>
        <v>-1.4749775445893851E-2</v>
      </c>
      <c r="D80">
        <f>B80*EXP(C80*p_off)</f>
        <v>5.0781459426489677E-9</v>
      </c>
      <c r="F80">
        <f>C80^2+D80^2</f>
        <v>2.1755587570431893E-4</v>
      </c>
      <c r="G80">
        <f t="shared" si="3"/>
        <v>-8.433054840638663</v>
      </c>
    </row>
    <row r="81" spans="1:7" x14ac:dyDescent="0.25">
      <c r="A81">
        <f t="shared" si="2"/>
        <v>810</v>
      </c>
      <c r="B81">
        <f>r_OM*SIN(r_IM*(A81+r_S))</f>
        <v>1.2695068994601908E-2</v>
      </c>
      <c r="C81">
        <f>p_OM*SIN(P_IM*(A81+p_S))</f>
        <v>-1.4957267924685602E-2</v>
      </c>
      <c r="D81">
        <f>B81*EXP(C81*p_off)</f>
        <v>4.0529956858264581E-9</v>
      </c>
      <c r="F81">
        <f>C81^2+D81^2</f>
        <v>2.2371986377084518E-4</v>
      </c>
      <c r="G81">
        <f t="shared" si="3"/>
        <v>-8.405115896938101</v>
      </c>
    </row>
    <row r="82" spans="1:7" x14ac:dyDescent="0.25">
      <c r="A82">
        <f t="shared" si="2"/>
        <v>820</v>
      </c>
      <c r="B82">
        <f>r_OM*SIN(r_IM*(A82+r_S))</f>
        <v>1.246143988477715E-2</v>
      </c>
      <c r="C82">
        <f>p_OM*SIN(P_IM*(A82+p_S))</f>
        <v>-1.5161250727493091E-2</v>
      </c>
      <c r="D82">
        <f>B82*EXP(C82*p_off)</f>
        <v>3.2442976878884448E-9</v>
      </c>
      <c r="F82">
        <f>C82^2+D82^2</f>
        <v>2.2986352362192031E-4</v>
      </c>
      <c r="G82">
        <f t="shared" si="3"/>
        <v>-8.3780248007148952</v>
      </c>
    </row>
    <row r="83" spans="1:7" x14ac:dyDescent="0.25">
      <c r="A83">
        <f t="shared" si="2"/>
        <v>830</v>
      </c>
      <c r="B83">
        <f>r_OM*SIN(r_IM*(A83+r_S))</f>
        <v>1.2224785798814483E-2</v>
      </c>
      <c r="C83">
        <f>p_OM*SIN(P_IM*(A83+p_S))</f>
        <v>-1.5361675990391717E-2</v>
      </c>
      <c r="D83">
        <f>B83*EXP(C83*p_off)</f>
        <v>2.6046546155422405E-9</v>
      </c>
      <c r="F83">
        <f>C83^2+D83^2</f>
        <v>2.3598108923378409E-4</v>
      </c>
      <c r="G83">
        <f t="shared" si="3"/>
        <v>-8.3517588865145953</v>
      </c>
    </row>
    <row r="84" spans="1:7" x14ac:dyDescent="0.25">
      <c r="A84">
        <f t="shared" si="2"/>
        <v>840</v>
      </c>
      <c r="B84">
        <f>r_OM*SIN(r_IM*(A84+r_S))</f>
        <v>1.1985164183764149E-2</v>
      </c>
      <c r="C84">
        <f>p_OM*SIN(P_IM*(A84+p_S))</f>
        <v>-1.5558496684222434E-2</v>
      </c>
      <c r="D84">
        <f>B84*EXP(C84*p_off)</f>
        <v>2.0973684516087708E-9</v>
      </c>
      <c r="F84">
        <f>C84^2+D84^2</f>
        <v>2.4206681907296484E-4</v>
      </c>
      <c r="G84">
        <f t="shared" si="3"/>
        <v>-8.3262967580477003</v>
      </c>
    </row>
    <row r="85" spans="1:7" x14ac:dyDescent="0.25">
      <c r="A85">
        <f t="shared" si="2"/>
        <v>850</v>
      </c>
      <c r="B85">
        <f>r_OM*SIN(r_IM*(A85+r_S))</f>
        <v>1.1742633207034907E-2</v>
      </c>
      <c r="C85">
        <f>p_OM*SIN(P_IM*(A85+p_S))</f>
        <v>-1.5751666625627048E-2</v>
      </c>
      <c r="D85">
        <f>B85*EXP(C85*p_off)</f>
        <v>1.6939617481701478E-9</v>
      </c>
      <c r="F85">
        <f>C85^2+D85^2</f>
        <v>2.4811500148489584E-4</v>
      </c>
      <c r="G85">
        <f t="shared" si="3"/>
        <v>-8.3016182036172719</v>
      </c>
    </row>
    <row r="86" spans="1:7" x14ac:dyDescent="0.25">
      <c r="A86">
        <f t="shared" si="2"/>
        <v>860</v>
      </c>
      <c r="B86">
        <f>r_OM*SIN(r_IM*(A86+r_S))</f>
        <v>1.1497251742274121E-2</v>
      </c>
      <c r="C86">
        <f>p_OM*SIN(P_IM*(A86+p_S))</f>
        <v>-1.5941140487884968E-2</v>
      </c>
      <c r="D86">
        <f>B86*EXP(C86*p_off)</f>
        <v>1.372286186034383E-9</v>
      </c>
      <c r="F86">
        <f>C86^2+D86^2</f>
        <v>2.5411996005448727E-4</v>
      </c>
      <c r="G86">
        <f t="shared" si="3"/>
        <v>-8.2777041187574891</v>
      </c>
    </row>
    <row r="87" spans="1:7" x14ac:dyDescent="0.25">
      <c r="A87">
        <f t="shared" si="2"/>
        <v>870</v>
      </c>
      <c r="B87">
        <f>r_OM*SIN(r_IM*(A87+r_S))</f>
        <v>1.1249079355076325E-2</v>
      </c>
      <c r="C87">
        <f>p_OM*SIN(P_IM*(A87+p_S))</f>
        <v>-1.6126873811548939E-2</v>
      </c>
      <c r="D87">
        <f>B87*EXP(C87*p_off)</f>
        <v>1.115076526972316E-9</v>
      </c>
      <c r="F87">
        <f>C87^2+D87^2</f>
        <v>2.6007605893362424E-4</v>
      </c>
      <c r="G87">
        <f t="shared" si="3"/>
        <v>-8.254536435368486</v>
      </c>
    </row>
    <row r="88" spans="1:7" x14ac:dyDescent="0.25">
      <c r="A88">
        <f t="shared" si="2"/>
        <v>880</v>
      </c>
      <c r="B88">
        <f>r_OM*SIN(r_IM*(A88+r_S))</f>
        <v>1.0998176288523891E-2</v>
      </c>
      <c r="C88">
        <f>p_OM*SIN(P_IM*(A88+p_S))</f>
        <v>-1.6308823014877398E-2</v>
      </c>
      <c r="D88">
        <f>B88*EXP(C88*p_off)</f>
        <v>9.0884293381950902E-10</v>
      </c>
      <c r="F88">
        <f>C88^2+D88^2</f>
        <v>2.6597770813059553E-4</v>
      </c>
      <c r="G88">
        <f t="shared" si="3"/>
        <v>-8.232098056714646</v>
      </c>
    </row>
    <row r="89" spans="1:7" x14ac:dyDescent="0.25">
      <c r="A89">
        <f t="shared" si="2"/>
        <v>890</v>
      </c>
      <c r="B89">
        <f>r_OM*SIN(r_IM*(A89+r_S))</f>
        <v>1.0744603448563173E-2</v>
      </c>
      <c r="C89">
        <f>p_OM*SIN(P_IM*(A89+p_S))</f>
        <v>-1.6486945404060694E-2</v>
      </c>
      <c r="D89">
        <f>B89*EXP(C89*p_off)</f>
        <v>7.4302081314080021E-10</v>
      </c>
      <c r="F89">
        <f>C89^2+D89^2</f>
        <v>2.7181936875647861E-4</v>
      </c>
      <c r="G89">
        <f t="shared" si="3"/>
        <v>-8.2103727977248155</v>
      </c>
    </row>
    <row r="90" spans="1:7" x14ac:dyDescent="0.25">
      <c r="A90">
        <f t="shared" si="2"/>
        <v>900</v>
      </c>
      <c r="B90">
        <f>r_OM*SIN(r_IM*(A90+r_S))</f>
        <v>1.0488422389219819E-2</v>
      </c>
      <c r="C90">
        <f>p_OM*SIN(P_IM*(A90+p_S))</f>
        <v>-1.6661199183239161E-2</v>
      </c>
      <c r="D90">
        <f>B90*EXP(C90*p_off)</f>
        <v>6.0931700925814249E-10</v>
      </c>
      <c r="F90">
        <f>C90^2+D90^2</f>
        <v>2.7759555822356969E-4</v>
      </c>
      <c r="G90">
        <f t="shared" si="3"/>
        <v>-8.1893453300951915</v>
      </c>
    </row>
    <row r="91" spans="1:7" x14ac:dyDescent="0.25">
      <c r="A91">
        <f t="shared" si="2"/>
        <v>910</v>
      </c>
      <c r="B91">
        <f>r_OM*SIN(r_IM*(A91+r_S))</f>
        <v>1.0229695297656671E-2</v>
      </c>
      <c r="C91">
        <f>p_OM*SIN(P_IM*(A91+p_S))</f>
        <v>-1.6831543464310279E-2</v>
      </c>
      <c r="D91">
        <f>B91*EXP(C91*p_off)</f>
        <v>5.0120598634793379E-10</v>
      </c>
      <c r="F91">
        <f>C91^2+D91^2</f>
        <v>2.8330085539096634E-4</v>
      </c>
      <c r="G91">
        <f t="shared" si="3"/>
        <v>-8.1690011317501998</v>
      </c>
    </row>
    <row r="92" spans="1:7" x14ac:dyDescent="0.25">
      <c r="A92">
        <f t="shared" si="2"/>
        <v>920</v>
      </c>
      <c r="B92">
        <f>r_OM*SIN(r_IM*(A92+r_S))</f>
        <v>9.9684849790780648E-3</v>
      </c>
      <c r="C92">
        <f>p_OM*SIN(P_IM*(A92+p_S))</f>
        <v>-1.6997938276523027E-2</v>
      </c>
      <c r="D92">
        <f>B92*EXP(C92*p_off)</f>
        <v>4.135407980964275E-10</v>
      </c>
      <c r="F92">
        <f>C92^2+D92^2</f>
        <v>2.8892990565248681E-4</v>
      </c>
      <c r="G92">
        <f t="shared" si="3"/>
        <v>-8.149326440264522</v>
      </c>
    </row>
    <row r="93" spans="1:7" x14ac:dyDescent="0.25">
      <c r="A93">
        <f t="shared" si="2"/>
        <v>930</v>
      </c>
      <c r="B93">
        <f>r_OM*SIN(r_IM*(A93+r_S))</f>
        <v>9.7048548414840289E-3</v>
      </c>
      <c r="C93">
        <f>p_OM*SIN(P_IM*(A93+p_S))</f>
        <v>-1.7160344575856863E-2</v>
      </c>
      <c r="D93">
        <f>B93*EXP(C93*p_off)</f>
        <v>3.4225207279017523E-10</v>
      </c>
      <c r="F93">
        <f>C93^2+D93^2</f>
        <v>2.944774259621402E-4</v>
      </c>
      <c r="G93">
        <f t="shared" si="3"/>
        <v>-8.130308209891572</v>
      </c>
    </row>
    <row r="94" spans="1:7" x14ac:dyDescent="0.25">
      <c r="A94">
        <f t="shared" si="2"/>
        <v>940</v>
      </c>
      <c r="B94">
        <f>r_OM*SIN(r_IM*(A94+r_S))</f>
        <v>9.4388688802782231E-3</v>
      </c>
      <c r="C94">
        <f>p_OM*SIN(P_IM*(A94+p_S))</f>
        <v>-1.7318724254183234E-2</v>
      </c>
      <c r="D94">
        <f>B94*EXP(C94*p_off)</f>
        <v>2.8411461586544821E-10</v>
      </c>
      <c r="F94">
        <f>C94^2+D94^2</f>
        <v>2.999382097924347E-4</v>
      </c>
      <c r="G94">
        <f t="shared" si="3"/>
        <v>-8.1119340718808139</v>
      </c>
    </row>
    <row r="95" spans="1:7" x14ac:dyDescent="0.25">
      <c r="A95">
        <f t="shared" si="2"/>
        <v>950</v>
      </c>
      <c r="B95">
        <f>r_OM*SIN(r_IM*(A95+r_S))</f>
        <v>9.1705916627332056E-3</v>
      </c>
      <c r="C95">
        <f>p_OM*SIN(P_IM*(A95+p_S))</f>
        <v>-1.7473040148207622E-2</v>
      </c>
      <c r="D95">
        <f>B95*EXP(C95*p_off)</f>
        <v>2.3656606049515819E-10</v>
      </c>
      <c r="F95">
        <f>C95^2+D95^2</f>
        <v>3.0530713202087551E-4</v>
      </c>
      <c r="G95">
        <f t="shared" si="3"/>
        <v>-8.0941922977990313</v>
      </c>
    </row>
    <row r="96" spans="1:7" x14ac:dyDescent="0.25">
      <c r="A96">
        <f t="shared" si="2"/>
        <v>960</v>
      </c>
      <c r="B96">
        <f>r_OM*SIN(r_IM*(A96+r_S))</f>
        <v>8.9000883123169765E-3</v>
      </c>
      <c r="C96">
        <f>p_OM*SIN(P_IM*(A96+p_S))</f>
        <v>-1.7623256048189699E-2</v>
      </c>
      <c r="D96">
        <f>B96*EXP(C96*p_off)</f>
        <v>1.97565660670062E-10</v>
      </c>
      <c r="F96">
        <f>C96^2+D96^2</f>
        <v>3.1057915374005488E-4</v>
      </c>
      <c r="G96">
        <f t="shared" si="3"/>
        <v>-8.0770717655997721</v>
      </c>
    </row>
    <row r="97" spans="1:7" x14ac:dyDescent="0.25">
      <c r="A97">
        <f t="shared" si="2"/>
        <v>970</v>
      </c>
      <c r="B97">
        <f>r_OM*SIN(r_IM*(A97+r_S))</f>
        <v>8.6274244928844068E-3</v>
      </c>
      <c r="C97">
        <f>p_OM*SIN(P_IM*(A97+p_S))</f>
        <v>-1.7769336706439917E-2</v>
      </c>
      <c r="D97">
        <f>B97*EXP(C97*p_off)</f>
        <v>1.6548410609850528E-10</v>
      </c>
      <c r="F97">
        <f>C97^2+D97^2</f>
        <v>3.1574932698683305E-4</v>
      </c>
      <c r="G97">
        <f t="shared" si="3"/>
        <v>-8.0605619282107419</v>
      </c>
    </row>
    <row r="98" spans="1:7" x14ac:dyDescent="0.25">
      <c r="A98">
        <f t="shared" si="2"/>
        <v>980</v>
      </c>
      <c r="B98">
        <f>r_OM*SIN(r_IM*(A98+r_S))</f>
        <v>8.3526663927375906E-3</v>
      </c>
      <c r="C98">
        <f>p_OM*SIN(P_IM*(A98+p_S))</f>
        <v>-1.7911247845590186E-2</v>
      </c>
      <c r="D98">
        <f>B98*EXP(C98*p_off)</f>
        <v>1.3901735865117252E-10</v>
      </c>
      <c r="F98">
        <f>C98^2+D98^2</f>
        <v>3.2081279938615912E-4</v>
      </c>
      <c r="G98">
        <f t="shared" si="3"/>
        <v>-8.0446527844319249</v>
      </c>
    </row>
    <row r="99" spans="1:7" x14ac:dyDescent="0.25">
      <c r="A99">
        <f t="shared" si="2"/>
        <v>990</v>
      </c>
      <c r="B99">
        <f>r_OM*SIN(r_IM*(A99+r_S))</f>
        <v>8.0758807085587834E-3</v>
      </c>
      <c r="C99">
        <f>p_OM*SIN(P_IM*(A99+p_S))</f>
        <v>-1.8048956166637011E-2</v>
      </c>
      <c r="D99">
        <f>B99*EXP(C99*p_off)</f>
        <v>1.1711912738115953E-10</v>
      </c>
      <c r="F99">
        <f>C99^2+D99^2</f>
        <v>3.2576481870518419E-4</v>
      </c>
      <c r="G99">
        <f t="shared" si="3"/>
        <v>-8.0293348519573691</v>
      </c>
    </row>
    <row r="100" spans="1:7" x14ac:dyDescent="0.25">
      <c r="A100">
        <f t="shared" si="2"/>
        <v>1000</v>
      </c>
      <c r="B100">
        <f>r_OM*SIN(r_IM*(A100+r_S))</f>
        <v>7.7971346292200483E-3</v>
      </c>
      <c r="C100">
        <f>p_OM*SIN(P_IM*(A100+p_S))</f>
        <v>-1.818242935675498E-2</v>
      </c>
      <c r="D100">
        <f>B100*EXP(C100*p_off)</f>
        <v>9.8947834910486652E-11</v>
      </c>
      <c r="F100">
        <f>C100^2+D100^2</f>
        <v>3.3060073731338533E-4</v>
      </c>
      <c r="G100">
        <f t="shared" si="3"/>
        <v>-8.0145991423518108</v>
      </c>
    </row>
    <row r="101" spans="1:7" x14ac:dyDescent="0.25">
      <c r="A101">
        <f t="shared" si="2"/>
        <v>1010</v>
      </c>
      <c r="B101">
        <f>r_OM*SIN(r_IM*(A101+r_S))</f>
        <v>7.5164958194733041E-3</v>
      </c>
      <c r="C101">
        <f>p_OM*SIN(P_IM*(A101+p_S))</f>
        <v>-1.8311636096878841E-2</v>
      </c>
      <c r="D101">
        <f>B101*EXP(C101*p_off)</f>
        <v>8.3824873895517935E-11</v>
      </c>
      <c r="F101">
        <f>C101^2+D101^2</f>
        <v>3.3531601654451614E-4</v>
      </c>
      <c r="G101">
        <f t="shared" si="3"/>
        <v>-8.0004371378294294</v>
      </c>
    </row>
    <row r="102" spans="1:7" x14ac:dyDescent="0.25">
      <c r="A102">
        <f t="shared" si="2"/>
        <v>1020</v>
      </c>
      <c r="B102">
        <f>r_OM*SIN(r_IM*(A102+r_S))</f>
        <v>7.2340324035249683E-3</v>
      </c>
      <c r="C102">
        <f>p_OM*SIN(P_IM*(A102+p_S))</f>
        <v>-1.8436546069052477E-2</v>
      </c>
      <c r="D102">
        <f>B102*EXP(C102*p_off)</f>
        <v>7.1201677657876635E-11</v>
      </c>
      <c r="F102">
        <f>C102^2+D102^2</f>
        <v>3.3990623095629435E-4</v>
      </c>
      <c r="G102">
        <f t="shared" si="3"/>
        <v>-7.9868407696964994</v>
      </c>
    </row>
    <row r="103" spans="1:7" x14ac:dyDescent="0.25">
      <c r="A103">
        <f t="shared" si="2"/>
        <v>1030</v>
      </c>
      <c r="B103">
        <f>r_OM*SIN(r_IM*(A103+r_S))</f>
        <v>6.9498129484989873E-3</v>
      </c>
      <c r="C103">
        <f>p_OM*SIN(P_IM*(A103+p_S))</f>
        <v>-1.8557129963542855E-2</v>
      </c>
      <c r="D103">
        <f>B103*EXP(C103*p_off)</f>
        <v>6.0633686334173675E-11</v>
      </c>
      <c r="F103">
        <f>C103^2+D103^2</f>
        <v>3.4436707248382004E-4</v>
      </c>
      <c r="G103">
        <f t="shared" si="3"/>
        <v>-7.9738023983327455</v>
      </c>
    </row>
    <row r="104" spans="1:7" x14ac:dyDescent="0.25">
      <c r="A104">
        <f t="shared" si="2"/>
        <v>1040</v>
      </c>
      <c r="B104">
        <f>r_OM*SIN(r_IM*(A104+r_S))</f>
        <v>6.6639064477923655E-3</v>
      </c>
      <c r="C104">
        <f>p_OM*SIN(P_IM*(A104+p_S))</f>
        <v>-1.8673359485717526E-2</v>
      </c>
      <c r="D104">
        <f>B104*EXP(C104*p_off)</f>
        <v>5.1759718807095759E-11</v>
      </c>
      <c r="F104">
        <f>C104^2+D104^2</f>
        <v>3.4869435448283667E-4</v>
      </c>
      <c r="G104">
        <f t="shared" si="3"/>
        <v>-7.9613147945977385</v>
      </c>
    </row>
    <row r="105" spans="1:7" x14ac:dyDescent="0.25">
      <c r="A105">
        <f t="shared" si="2"/>
        <v>1050</v>
      </c>
      <c r="B105">
        <f>r_OM*SIN(r_IM*(A105+r_S))</f>
        <v>6.3763823043272768E-3</v>
      </c>
      <c r="C105">
        <f>p_OM*SIN(P_IM*(A105+p_S))</f>
        <v>-1.8785207362683819E-2</v>
      </c>
      <c r="D105">
        <f>B105*EXP(C105*p_off)</f>
        <v>4.4285591412064763E-11</v>
      </c>
      <c r="F105">
        <f>C105^2+D105^2</f>
        <v>3.5288401565903037E-4</v>
      </c>
      <c r="G105">
        <f t="shared" si="3"/>
        <v>-7.9493711225592749</v>
      </c>
    </row>
    <row r="106" spans="1:7" x14ac:dyDescent="0.25">
      <c r="A106">
        <f t="shared" si="2"/>
        <v>1060</v>
      </c>
      <c r="B106">
        <f>r_OM*SIN(r_IM*(A106+r_S))</f>
        <v>6.0873103137036588E-3</v>
      </c>
      <c r="C106">
        <f>p_OM*SIN(P_IM*(A106+p_S))</f>
        <v>-1.8892647349688367E-2</v>
      </c>
      <c r="D106">
        <f>B106*EXP(C106*p_off)</f>
        <v>3.7971079919026323E-11</v>
      </c>
      <c r="F106">
        <f>C106^2+D106^2</f>
        <v>3.5693212387968685E-4</v>
      </c>
      <c r="G106">
        <f t="shared" si="3"/>
        <v>-7.9379649234500329</v>
      </c>
    </row>
    <row r="107" spans="1:7" x14ac:dyDescent="0.25">
      <c r="A107">
        <f t="shared" si="2"/>
        <v>1070</v>
      </c>
      <c r="B107">
        <f>r_OM*SIN(r_IM*(A107+r_S))</f>
        <v>5.7967606472566109E-3</v>
      </c>
      <c r="C107">
        <f>p_OM*SIN(P_IM*(A107+p_S))</f>
        <v>-1.8995654236275365E-2</v>
      </c>
      <c r="D107">
        <f>B107*EXP(C107*p_off)</f>
        <v>3.261951905141345E-11</v>
      </c>
      <c r="F107">
        <f>C107^2+D107^2</f>
        <v>3.608348798641262E-4</v>
      </c>
      <c r="G107">
        <f t="shared" si="3"/>
        <v>-7.9270901007673453</v>
      </c>
    </row>
    <row r="108" spans="1:7" x14ac:dyDescent="0.25">
      <c r="A108">
        <f t="shared" si="2"/>
        <v>1080</v>
      </c>
      <c r="B108">
        <f>r_OM*SIN(r_IM*(A108+r_S))</f>
        <v>5.5048038350224548E-3</v>
      </c>
      <c r="C108">
        <f>p_OM*SIN(P_IM*(A108+p_S))</f>
        <v>-1.9094203852202087E-2</v>
      </c>
      <c r="D108">
        <f>B108*EXP(C108*p_off)</f>
        <v>2.8069487164247384E-11</v>
      </c>
      <c r="F108">
        <f>C108^2+D108^2</f>
        <v>3.6458862074944902E-4</v>
      </c>
      <c r="G108">
        <f t="shared" si="3"/>
        <v>-7.9167409064386618</v>
      </c>
    </row>
    <row r="109" spans="1:7" x14ac:dyDescent="0.25">
      <c r="A109">
        <f t="shared" si="2"/>
        <v>1090</v>
      </c>
      <c r="B109">
        <f>r_OM*SIN(r_IM*(A109+r_S))</f>
        <v>5.2115107486178456E-3</v>
      </c>
      <c r="C109">
        <f>p_OM*SIN(P_IM*(A109+p_S))</f>
        <v>-1.9188273073110409E-2</v>
      </c>
      <c r="D109">
        <f>B109*EXP(C109*p_off)</f>
        <v>2.4188142857187697E-11</v>
      </c>
      <c r="F109">
        <f>C109^2+D109^2</f>
        <v>3.6818982352825399E-4</v>
      </c>
      <c r="G109">
        <f t="shared" si="3"/>
        <v>-7.906911927982188</v>
      </c>
    </row>
    <row r="110" spans="1:7" x14ac:dyDescent="0.25">
      <c r="A110">
        <f t="shared" si="2"/>
        <v>1100</v>
      </c>
      <c r="B110">
        <f>r_OM*SIN(r_IM*(A110+r_S))</f>
        <v>4.9169525840358471E-3</v>
      </c>
      <c r="C110">
        <f>p_OM*SIN(P_IM*(A110+p_S))</f>
        <v>-1.9277839825952808E-2</v>
      </c>
      <c r="D110">
        <f>B110*EXP(C110*p_off)</f>
        <v>2.0865873052894155E-11</v>
      </c>
      <c r="F110">
        <f>C110^2+D110^2</f>
        <v>3.7163510835509219E-4</v>
      </c>
      <c r="G110">
        <f t="shared" si="3"/>
        <v>-7.8975980765986016</v>
      </c>
    </row>
    <row r="111" spans="1:7" x14ac:dyDescent="0.25">
      <c r="A111">
        <f t="shared" si="2"/>
        <v>1110</v>
      </c>
      <c r="B111">
        <f>r_OM*SIN(r_IM*(A111+r_S))</f>
        <v>4.621200844363382E-3</v>
      </c>
      <c r="C111">
        <f>p_OM*SIN(P_IM*(A111+p_S))</f>
        <v>-1.9362883094171793E-2</v>
      </c>
      <c r="D111">
        <f>B111*EXP(C111*p_off)</f>
        <v>1.8011984413812142E-11</v>
      </c>
      <c r="F111">
        <f>C111^2+D111^2</f>
        <v>3.749212417185638E-4</v>
      </c>
      <c r="G111">
        <f t="shared" si="3"/>
        <v>-7.8887945761354192</v>
      </c>
    </row>
    <row r="112" spans="1:7" x14ac:dyDescent="0.25">
      <c r="A112">
        <f t="shared" si="2"/>
        <v>1120</v>
      </c>
      <c r="B112">
        <f>r_OM*SIN(r_IM*(A112+r_S))</f>
        <v>4.32432732242402E-3</v>
      </c>
      <c r="C112">
        <f>p_OM*SIN(P_IM*(A112+p_S))</f>
        <v>-1.9443382922631321E-2</v>
      </c>
      <c r="D112">
        <f>B112*EXP(C112*p_off)</f>
        <v>1.5551226501588236E-11</v>
      </c>
      <c r="F112">
        <f>C112^2+D112^2</f>
        <v>3.7804513947607129E-4</v>
      </c>
      <c r="G112">
        <f t="shared" si="3"/>
        <v>-7.8804969528709181</v>
      </c>
    </row>
    <row r="113" spans="1:7" x14ac:dyDescent="0.25">
      <c r="A113">
        <f t="shared" si="2"/>
        <v>1130</v>
      </c>
      <c r="B113">
        <f>r_OM*SIN(r_IM*(A113+r_S))</f>
        <v>4.0264040833505503E-3</v>
      </c>
      <c r="C113">
        <f>p_OM*SIN(P_IM*(A113+p_S))</f>
        <v>-1.9519320422299254E-2</v>
      </c>
      <c r="D113">
        <f>B113*EXP(C113*p_off)</f>
        <v>1.3420979343154488E-11</v>
      </c>
      <c r="F113">
        <f>C113^2+D113^2</f>
        <v>3.8100386974838875E-4</v>
      </c>
      <c r="G113">
        <f t="shared" si="3"/>
        <v>-7.8727010260692349</v>
      </c>
    </row>
    <row r="114" spans="1:7" x14ac:dyDescent="0.25">
      <c r="A114">
        <f t="shared" si="2"/>
        <v>1140</v>
      </c>
      <c r="B114">
        <f>r_OM*SIN(r_IM*(A114+r_S))</f>
        <v>3.7275034470913289E-3</v>
      </c>
      <c r="C114">
        <f>p_OM*SIN(P_IM*(A114+p_S))</f>
        <v>-1.9590677774679575E-2</v>
      </c>
      <c r="D114">
        <f>B114*EXP(C114*p_off)</f>
        <v>1.1568972785688002E-11</v>
      </c>
      <c r="F114">
        <f>C114^2+D114^2</f>
        <v>3.8379465567132427E-4</v>
      </c>
      <c r="G114">
        <f t="shared" si="3"/>
        <v>-7.8654028992627056</v>
      </c>
    </row>
    <row r="115" spans="1:7" x14ac:dyDescent="0.25">
      <c r="A115">
        <f t="shared" si="2"/>
        <v>1150</v>
      </c>
      <c r="B115">
        <f>r_OM*SIN(r_IM*(A115+r_S))</f>
        <v>3.4276979708549016E-3</v>
      </c>
      <c r="C115">
        <f>p_OM*SIN(P_IM*(A115+p_S))</f>
        <v>-1.9657438235993453E-2</v>
      </c>
      <c r="D115">
        <f>B115*EXP(C115*p_off)</f>
        <v>9.9514323072546242E-12</v>
      </c>
      <c r="F115">
        <f>C115^2+D115^2</f>
        <v>3.8641487800189739E-4</v>
      </c>
      <c r="G115">
        <f t="shared" si="3"/>
        <v>-7.8585989522214792</v>
      </c>
    </row>
    <row r="116" spans="1:7" x14ac:dyDescent="0.25">
      <c r="A116">
        <f t="shared" si="2"/>
        <v>1160</v>
      </c>
      <c r="B116">
        <f>r_OM*SIN(r_IM*(A116+r_S))</f>
        <v>3.1270604314968969E-3</v>
      </c>
      <c r="C116">
        <f>p_OM*SIN(P_IM*(A116+p_S))</f>
        <v>-1.971958614110814E-2</v>
      </c>
      <c r="D116">
        <f>B116*EXP(C116*p_off)</f>
        <v>8.5315674319850098E-12</v>
      </c>
      <c r="F116">
        <f>C116^2+D116^2</f>
        <v>3.8886207757658423E-4</v>
      </c>
      <c r="G116">
        <f t="shared" si="3"/>
        <v>-7.8522858335741894</v>
      </c>
    </row>
    <row r="117" spans="1:7" x14ac:dyDescent="0.25">
      <c r="A117">
        <f t="shared" si="2"/>
        <v>1170</v>
      </c>
      <c r="B117">
        <f>r_OM*SIN(r_IM*(A117+r_S))</f>
        <v>2.8256638078537366E-3</v>
      </c>
      <c r="C117">
        <f>p_OM*SIN(P_IM*(A117+p_S))</f>
        <v>-1.9777106907212703E-2</v>
      </c>
      <c r="D117">
        <f>B117*EXP(C117*p_off)</f>
        <v>7.2783358421135198E-12</v>
      </c>
      <c r="F117">
        <f>C117^2+D117^2</f>
        <v>3.9113395761932043E-4</v>
      </c>
      <c r="G117">
        <f t="shared" si="3"/>
        <v>-7.8464604540468228</v>
      </c>
    </row>
    <row r="118" spans="1:7" x14ac:dyDescent="0.25">
      <c r="A118">
        <f t="shared" si="2"/>
        <v>1180</v>
      </c>
      <c r="B118">
        <f>r_OM*SIN(r_IM*(A118+r_S))</f>
        <v>2.523581263027179E-3</v>
      </c>
      <c r="C118">
        <f>p_OM*SIN(P_IM*(A118+p_S))</f>
        <v>-1.9829987037239878E-2</v>
      </c>
      <c r="D118">
        <f>B118*EXP(C118*p_off)</f>
        <v>6.1654296653949756E-12</v>
      </c>
      <c r="F118">
        <f>C118^2+D118^2</f>
        <v>3.9322838589710162E-4</v>
      </c>
      <c r="G118">
        <f t="shared" si="3"/>
        <v>-7.8411199802901095</v>
      </c>
    </row>
    <row r="119" spans="1:7" x14ac:dyDescent="0.25">
      <c r="A119">
        <f t="shared" si="2"/>
        <v>1190</v>
      </c>
      <c r="B119">
        <f>r_OM*SIN(r_IM*(A119+r_S))</f>
        <v>2.2208861266242719E-3</v>
      </c>
      <c r="C119">
        <f>p_OM*SIN(P_IM*(A119+p_S))</f>
        <v>-1.9878214123033078E-2</v>
      </c>
      <c r="D119">
        <f>B119*EXP(C119*p_off)</f>
        <v>5.1704410082927087E-12</v>
      </c>
      <c r="F119">
        <f>C119^2+D119^2</f>
        <v>3.9514339672115173E-4</v>
      </c>
      <c r="G119">
        <f t="shared" si="3"/>
        <v>-7.836261829268679</v>
      </c>
    </row>
    <row r="120" spans="1:7" x14ac:dyDescent="0.25">
      <c r="A120">
        <f t="shared" si="2"/>
        <v>1200</v>
      </c>
      <c r="B120">
        <f>r_OM*SIN(r_IM*(A120+r_S))</f>
        <v>1.9176518769567451E-3</v>
      </c>
      <c r="C120">
        <f>p_OM*SIN(P_IM*(A120+p_S))</f>
        <v>-1.9921776848257956E-2</v>
      </c>
      <c r="D120">
        <f>B120*EXP(C120*p_off)</f>
        <v>4.2741721970658876E-12</v>
      </c>
      <c r="F120">
        <f>C120^2+D120^2</f>
        <v>3.9687719279178667E-4</v>
      </c>
      <c r="G120">
        <f t="shared" si="3"/>
        <v>-7.8318836631879218</v>
      </c>
    </row>
    <row r="121" spans="1:7" x14ac:dyDescent="0.25">
      <c r="A121">
        <f t="shared" si="2"/>
        <v>1210</v>
      </c>
      <c r="B121">
        <f>r_OM*SIN(r_IM*(A121+r_S))</f>
        <v>1.6139521232044472E-3</v>
      </c>
      <c r="C121">
        <f>p_OM*SIN(P_IM*(A121+p_S))</f>
        <v>-1.9960664991057739E-2</v>
      </c>
      <c r="D121">
        <f>B121*EXP(C121*p_off)</f>
        <v>3.4600628438058536E-12</v>
      </c>
      <c r="F121">
        <f>C121^2+D121^2</f>
        <v>3.9842814688523806E-4</v>
      </c>
      <c r="G121">
        <f t="shared" si="3"/>
        <v>-7.8279833849370668</v>
      </c>
    </row>
    <row r="122" spans="1:7" x14ac:dyDescent="0.25">
      <c r="A122">
        <f t="shared" si="2"/>
        <v>1220</v>
      </c>
      <c r="B122">
        <f>r_OM*SIN(r_IM*(A122+r_S))</f>
        <v>1.3098605875468752E-3</v>
      </c>
      <c r="C122">
        <f>p_OM*SIN(P_IM*(A122+p_S))</f>
        <v>-1.9994869426451733E-2</v>
      </c>
      <c r="D122">
        <f>B122*EXP(C122*p_off)</f>
        <v>2.7137111342608318E-12</v>
      </c>
      <c r="F122">
        <f>C122^2+D122^2</f>
        <v>3.9979480338085427E-4</v>
      </c>
      <c r="G122">
        <f t="shared" si="3"/>
        <v>-7.8245591340293377</v>
      </c>
    </row>
    <row r="123" spans="1:7" x14ac:dyDescent="0.25">
      <c r="A123">
        <f t="shared" si="2"/>
        <v>1230</v>
      </c>
      <c r="B123">
        <f>r_OM*SIN(r_IM*(A123+r_S))</f>
        <v>1.0054510872674108E-3</v>
      </c>
      <c r="C123">
        <f>p_OM*SIN(P_IM*(A123+p_S))</f>
        <v>-2.0024382128476521E-2</v>
      </c>
      <c r="D123">
        <f>B123*EXP(C123*p_off)</f>
        <v>2.0224709214779664E-12</v>
      </c>
      <c r="F123">
        <f>C123^2+D123^2</f>
        <v>4.0097587962724992E-4</v>
      </c>
      <c r="G123">
        <f t="shared" si="3"/>
        <v>-7.8216092830223083</v>
      </c>
    </row>
    <row r="124" spans="1:7" x14ac:dyDescent="0.25">
      <c r="A124">
        <f t="shared" si="2"/>
        <v>1240</v>
      </c>
      <c r="B124">
        <f>r_OM*SIN(r_IM*(A124+r_S))</f>
        <v>7.0079751683433311E-4</v>
      </c>
      <c r="C124">
        <f>p_OM*SIN(P_IM*(A124+p_S))</f>
        <v>-2.0049196172069163E-2</v>
      </c>
      <c r="D124">
        <f>B124*EXP(C124*p_off)</f>
        <v>1.3751095245727219E-12</v>
      </c>
      <c r="F124">
        <f>C124^2+D124^2</f>
        <v>4.0197026714611277E-4</v>
      </c>
      <c r="G124">
        <f t="shared" si="3"/>
        <v>-7.819132434403703</v>
      </c>
    </row>
    <row r="125" spans="1:7" x14ac:dyDescent="0.25">
      <c r="A125">
        <f t="shared" si="2"/>
        <v>1250</v>
      </c>
      <c r="B125">
        <f>r_OM*SIN(r_IM*(A125+r_S))</f>
        <v>3.9597382996323403E-4</v>
      </c>
      <c r="C125">
        <f>p_OM*SIN(P_IM*(A125+p_S))</f>
        <v>-2.0069305734692202E-2</v>
      </c>
      <c r="D125">
        <f>B125*EXP(C125*p_off)</f>
        <v>7.6151374751273656E-13</v>
      </c>
      <c r="F125">
        <f>C125^2+D125^2</f>
        <v>4.0277703267254929E-4</v>
      </c>
      <c r="G125">
        <f t="shared" si="3"/>
        <v>-7.8171274179298589</v>
      </c>
    </row>
    <row r="126" spans="1:7" x14ac:dyDescent="0.25">
      <c r="A126">
        <f t="shared" si="2"/>
        <v>1260</v>
      </c>
      <c r="B126">
        <f>r_OM*SIN(r_IM*(A126+r_S))</f>
        <v>9.1054021664911753E-5</v>
      </c>
      <c r="C126">
        <f>p_OM*SIN(P_IM*(A126+p_S))</f>
        <v>-2.0084706097699866E-2</v>
      </c>
      <c r="D126">
        <f>B126*EXP(C126*p_off)</f>
        <v>1.7243368267570673E-13</v>
      </c>
      <c r="F126">
        <f>C126^2+D126^2</f>
        <v>4.0339541903098219E-4</v>
      </c>
      <c r="G126">
        <f t="shared" si="3"/>
        <v>-7.8155932884060579</v>
      </c>
    </row>
    <row r="127" spans="1:7" x14ac:dyDescent="0.25">
      <c r="A127">
        <f t="shared" si="2"/>
        <v>1270</v>
      </c>
      <c r="B127">
        <f>r_OM*SIN(r_IM*(A127+r_S))</f>
        <v>-2.138878897166204E-4</v>
      </c>
      <c r="C127">
        <f>p_OM*SIN(P_IM*(A127+p_S))</f>
        <v>-2.0095393647445305E-2</v>
      </c>
      <c r="D127">
        <f>B127*EXP(C127*p_off)</f>
        <v>-4.0074454820660596E-13</v>
      </c>
      <c r="F127">
        <f>C127^2+D127^2</f>
        <v>4.0382484584578513E-4</v>
      </c>
      <c r="G127">
        <f t="shared" si="3"/>
        <v>-7.8145293238997198</v>
      </c>
    </row>
    <row r="128" spans="1:7" x14ac:dyDescent="0.25">
      <c r="A128">
        <f t="shared" si="2"/>
        <v>1280</v>
      </c>
      <c r="B128">
        <f>r_OM*SIN(r_IM*(A128+r_S))</f>
        <v>-5.1877788047192854E-4</v>
      </c>
      <c r="C128">
        <f>p_OM*SIN(P_IM*(A128+p_S))</f>
        <v>-2.0101365876128503E-2</v>
      </c>
      <c r="D128">
        <f>B128*EXP(C128*p_off)</f>
        <v>-9.6620475785716324E-13</v>
      </c>
      <c r="F128">
        <f>C128^2+D128^2</f>
        <v>4.0406491008598339E-4</v>
      </c>
      <c r="G128">
        <f t="shared" si="3"/>
        <v>-7.8139350243792682</v>
      </c>
    </row>
    <row r="129" spans="1:7" x14ac:dyDescent="0.25">
      <c r="A129">
        <f t="shared" si="2"/>
        <v>1290</v>
      </c>
      <c r="B129">
        <f>r_OM*SIN(r_IM*(A129+r_S))</f>
        <v>-8.2354193949511604E-4</v>
      </c>
      <c r="C129">
        <f>p_OM*SIN(P_IM*(A129+p_S))</f>
        <v>-2.010262138238474E-2</v>
      </c>
      <c r="D129">
        <f>B129*EXP(C129*p_off)</f>
        <v>-1.531892121784186E-12</v>
      </c>
      <c r="F129">
        <f>C129^2+D129^2</f>
        <v>4.0411538644351215E-4</v>
      </c>
      <c r="G129">
        <f t="shared" si="3"/>
        <v>-7.813810110773205</v>
      </c>
    </row>
    <row r="130" spans="1:7" x14ac:dyDescent="0.25">
      <c r="A130">
        <f t="shared" si="2"/>
        <v>1300</v>
      </c>
      <c r="B130">
        <f>r_OM*SIN(r_IM*(A130+r_S))</f>
        <v>-1.128106086249861E-3</v>
      </c>
      <c r="C130">
        <f>p_OM*SIN(P_IM*(A130+p_S))</f>
        <v>-2.0099159871613419E-2</v>
      </c>
      <c r="D130">
        <f>B130*EXP(C130*p_off)</f>
        <v>-2.1056962279747685E-12</v>
      </c>
      <c r="F130">
        <f>C130^2+D130^2</f>
        <v>4.0397622754467511E-4</v>
      </c>
      <c r="G130">
        <f t="shared" si="3"/>
        <v>-7.8141545244456241</v>
      </c>
    </row>
    <row r="131" spans="1:7" x14ac:dyDescent="0.25">
      <c r="A131">
        <f t="shared" ref="A131:A194" si="4">ROW()*10</f>
        <v>1310</v>
      </c>
      <c r="B131">
        <f>r_OM*SIN(r_IM*(A131+r_S))</f>
        <v>-1.4323963887278941E-3</v>
      </c>
      <c r="C131">
        <f>p_OM*SIN(P_IM*(A131+p_S))</f>
        <v>-2.0090982156047175E-2</v>
      </c>
      <c r="D131">
        <f>B131*EXP(C131*p_off)</f>
        <v>-2.6956315516824518E-12</v>
      </c>
      <c r="F131">
        <f>C131^2+D131^2</f>
        <v>4.0364756399460599E-4</v>
      </c>
      <c r="G131">
        <f t="shared" ref="G131:G194" si="5">LN(F131)</f>
        <v>-7.8149684270860753</v>
      </c>
    </row>
    <row r="132" spans="1:7" x14ac:dyDescent="0.25">
      <c r="A132">
        <f t="shared" si="4"/>
        <v>1320</v>
      </c>
      <c r="B132">
        <f>r_OM*SIN(r_IM*(A132+r_S))</f>
        <v>-1.7363389813958349E-3</v>
      </c>
      <c r="C132">
        <f>p_OM*SIN(P_IM*(A132+p_S))</f>
        <v>-2.0078090154561305E-2</v>
      </c>
      <c r="D132">
        <f>B132*EXP(C132*p_off)</f>
        <v>-3.3100210382726863E-12</v>
      </c>
      <c r="F132">
        <f>C132^2+D132^2</f>
        <v>4.0312970425469157E-4</v>
      </c>
      <c r="G132">
        <f t="shared" si="5"/>
        <v>-7.8162522010133229</v>
      </c>
    </row>
    <row r="133" spans="1:7" x14ac:dyDescent="0.25">
      <c r="A133">
        <f t="shared" si="4"/>
        <v>1330</v>
      </c>
      <c r="B133">
        <f>r_OM*SIN(r_IM*(A133+r_S))</f>
        <v>-2.0398600831257625E-3</v>
      </c>
      <c r="C133">
        <f>p_OM*SIN(P_IM*(A133+p_S))</f>
        <v>-2.0060486892223502E-2</v>
      </c>
      <c r="D133">
        <f>B133*EXP(C133*p_off)</f>
        <v>-3.9576885823391877E-12</v>
      </c>
      <c r="F133">
        <f>C133^2+D133^2</f>
        <v>4.0242313435307094E-4</v>
      </c>
      <c r="G133">
        <f t="shared" si="5"/>
        <v>-7.8180064498942299</v>
      </c>
    </row>
    <row r="134" spans="1:7" x14ac:dyDescent="0.25">
      <c r="A134">
        <f t="shared" si="4"/>
        <v>1340</v>
      </c>
      <c r="B134">
        <f>r_OM*SIN(r_IM*(A134+r_S))</f>
        <v>-2.3428860151053824E-3</v>
      </c>
      <c r="C134">
        <f>p_OM*SIN(P_IM*(A134+p_S))</f>
        <v>-2.0038176499584042E-2</v>
      </c>
      <c r="D134">
        <f>B134*EXP(C134*p_off)</f>
        <v>-4.6481665270289791E-12</v>
      </c>
      <c r="F134">
        <f>C134^2+D134^2</f>
        <v>4.0152851742848218E-4</v>
      </c>
      <c r="G134">
        <f t="shared" si="5"/>
        <v>-7.8202319998806376</v>
      </c>
    </row>
    <row r="135" spans="1:7" x14ac:dyDescent="0.25">
      <c r="A135">
        <f t="shared" si="4"/>
        <v>1350</v>
      </c>
      <c r="B135">
        <f>r_OM*SIN(r_IM*(A135+r_S))</f>
        <v>-2.6453432187233564E-3</v>
      </c>
      <c r="C135">
        <f>p_OM*SIN(P_IM*(A135+p_S))</f>
        <v>-2.001116421170655E-2</v>
      </c>
      <c r="D135">
        <f>B135*EXP(C135*p_off)</f>
        <v>-5.3919248891755241E-12</v>
      </c>
      <c r="F135">
        <f>C135^2+D135^2</f>
        <v>4.0044669310788499E-4</v>
      </c>
      <c r="G135">
        <f t="shared" si="5"/>
        <v>-7.8229299011687843</v>
      </c>
    </row>
    <row r="136" spans="1:7" x14ac:dyDescent="0.25">
      <c r="A136">
        <f t="shared" si="4"/>
        <v>1360</v>
      </c>
      <c r="B136">
        <f>r_OM*SIN(r_IM*(A136+r_S))</f>
        <v>-2.9471582734253718E-3</v>
      </c>
      <c r="C136">
        <f>p_OM*SIN(P_IM*(A136+p_S))</f>
        <v>-1.997945636693961E-2</v>
      </c>
      <c r="D136">
        <f>B136*EXP(C136*p_off)</f>
        <v>-6.2006298707397173E-12</v>
      </c>
      <c r="F136">
        <f>C136^2+D136^2</f>
        <v>3.9917867671844374E-4</v>
      </c>
      <c r="G136">
        <f t="shared" si="5"/>
        <v>-7.8261014299875571</v>
      </c>
    </row>
    <row r="137" spans="1:7" x14ac:dyDescent="0.25">
      <c r="A137">
        <f t="shared" si="4"/>
        <v>1370</v>
      </c>
      <c r="B137">
        <f>r_OM*SIN(r_IM*(A137+r_S))</f>
        <v>-3.2482579145368179E-3</v>
      </c>
      <c r="C137">
        <f>p_OM*SIN(P_IM*(A137+p_S))</f>
        <v>-1.9943060405429501E-2</v>
      </c>
      <c r="D137">
        <f>B137*EXP(C137*p_off)</f>
        <v>-7.0874403858343347E-12</v>
      </c>
      <c r="F137">
        <f>C137^2+D137^2</f>
        <v>3.9772565833460989E-4</v>
      </c>
      <c r="G137">
        <f t="shared" si="5"/>
        <v>-7.8297480910235775</v>
      </c>
    </row>
    <row r="138" spans="1:7" x14ac:dyDescent="0.25">
      <c r="A138">
        <f t="shared" si="4"/>
        <v>1380</v>
      </c>
      <c r="B138">
        <f>r_OM*SIN(r_IM*(A138+r_S))</f>
        <v>-3.5485690510474966E-3</v>
      </c>
      <c r="C138">
        <f>p_OM*SIN(P_IM*(A138+p_S))</f>
        <v>-1.9901984867374389E-2</v>
      </c>
      <c r="D138">
        <f>B138*EXP(C138*p_off)</f>
        <v>-8.0673528714649665E-12</v>
      </c>
      <c r="F138">
        <f>C138^2+D138^2</f>
        <v>3.9608900166119914E-4</v>
      </c>
      <c r="G138">
        <f t="shared" si="5"/>
        <v>-7.8338716202929719</v>
      </c>
    </row>
    <row r="139" spans="1:7" x14ac:dyDescent="0.25">
      <c r="A139">
        <f t="shared" si="4"/>
        <v>1390</v>
      </c>
      <c r="B139">
        <f>r_OM*SIN(r_IM*(A139+r_S))</f>
        <v>-3.8480187833543058E-3</v>
      </c>
      <c r="C139">
        <f>p_OM*SIN(P_IM*(A139+p_S))</f>
        <v>-1.9856239391020387E-2</v>
      </c>
      <c r="D139">
        <f>B139*EXP(C139*p_off)</f>
        <v>-9.1576066339924011E-12</v>
      </c>
      <c r="F139">
        <f>C139^2+D139^2</f>
        <v>3.9427024275350968E-4</v>
      </c>
      <c r="G139">
        <f t="shared" si="5"/>
        <v>-7.8384739884715495</v>
      </c>
    </row>
    <row r="140" spans="1:7" x14ac:dyDescent="0.25">
      <c r="A140">
        <f t="shared" si="4"/>
        <v>1400</v>
      </c>
      <c r="B140">
        <f>r_OM*SIN(r_IM*(A140+r_S))</f>
        <v>-4.1465344209573275E-3</v>
      </c>
      <c r="C140">
        <f>p_OM*SIN(P_IM*(A140+p_S))</f>
        <v>-1.9805834710399976E-2</v>
      </c>
      <c r="D140">
        <f>B140*EXP(C140*p_off)</f>
        <v>-1.0378164510071663E-11</v>
      </c>
      <c r="F140">
        <f>C140^2+D140^2</f>
        <v>3.9227108857568452E-4</v>
      </c>
      <c r="G140">
        <f t="shared" si="5"/>
        <v>-7.843557404697056</v>
      </c>
    </row>
    <row r="141" spans="1:7" x14ac:dyDescent="0.25">
      <c r="A141">
        <f t="shared" si="4"/>
        <v>1410</v>
      </c>
      <c r="B141">
        <f>r_OM*SIN(r_IM*(A141+r_S))</f>
        <v>-4.4440435001052853E-3</v>
      </c>
      <c r="C141">
        <f>p_OM*SIN(P_IM*(A141+p_S))</f>
        <v>-1.9750782652813294E-2</v>
      </c>
      <c r="D141">
        <f>B141*EXP(C141*p_off)</f>
        <v>-1.1752286816860196E-11</v>
      </c>
      <c r="F141">
        <f>C141^2+D141^2</f>
        <v>3.9009341539867053E-4</v>
      </c>
      <c r="G141">
        <f t="shared" si="5"/>
        <v>-7.8491243208592554</v>
      </c>
    </row>
    <row r="142" spans="1:7" x14ac:dyDescent="0.25">
      <c r="A142">
        <f t="shared" si="4"/>
        <v>1420</v>
      </c>
      <c r="B142">
        <f>r_OM*SIN(r_IM*(A142+r_S))</f>
        <v>-4.7404738013858364E-3</v>
      </c>
      <c r="C142">
        <f>p_OM*SIN(P_IM*(A142+p_S))</f>
        <v>-1.9691096136052921E-2</v>
      </c>
      <c r="D142">
        <f>B142*EXP(C142*p_off)</f>
        <v>-1.3307220593852617E-11</v>
      </c>
      <c r="F142">
        <f>C142^2+D142^2</f>
        <v>3.8773926703927829E-4</v>
      </c>
      <c r="G142">
        <f t="shared" si="5"/>
        <v>-7.8551774363957474</v>
      </c>
    </row>
    <row r="143" spans="1:7" x14ac:dyDescent="0.25">
      <c r="A143">
        <f t="shared" si="4"/>
        <v>1430</v>
      </c>
      <c r="B143">
        <f>r_OM*SIN(r_IM*(A143+r_S))</f>
        <v>-5.0357533672566734E-3</v>
      </c>
      <c r="C143">
        <f>p_OM*SIN(P_IM*(A143+p_S))</f>
        <v>-1.9626789165372714E-2</v>
      </c>
      <c r="D143">
        <f>B143*EXP(C143*p_off)</f>
        <v>-1.5075031205387268E-11</v>
      </c>
      <c r="F143">
        <f>C143^2+D143^2</f>
        <v>3.8521085294199175E-4</v>
      </c>
      <c r="G143">
        <f t="shared" si="5"/>
        <v>-7.8617197036137592</v>
      </c>
    </row>
    <row r="144" spans="1:7" x14ac:dyDescent="0.25">
      <c r="A144">
        <f t="shared" si="4"/>
        <v>1440</v>
      </c>
      <c r="B144">
        <f>r_OM*SIN(r_IM*(A144+r_S))</f>
        <v>-5.3298105195129317E-3</v>
      </c>
      <c r="C144">
        <f>p_OM*SIN(P_IM*(A144+p_S))</f>
        <v>-1.9557876830201552E-2</v>
      </c>
      <c r="D144">
        <f>B144*EXP(C144*p_off)</f>
        <v>-1.7093609743937778E-11</v>
      </c>
      <c r="F144">
        <f>C144^2+D144^2</f>
        <v>3.825105461053347E-4</v>
      </c>
      <c r="G144">
        <f t="shared" si="5"/>
        <v>-7.8687543335605561</v>
      </c>
    </row>
    <row r="145" spans="1:7" x14ac:dyDescent="0.25">
      <c r="A145">
        <f t="shared" si="4"/>
        <v>1450</v>
      </c>
      <c r="B145">
        <f>r_OM*SIN(r_IM*(A145+r_S))</f>
        <v>-5.6225738766869163E-3</v>
      </c>
      <c r="C145">
        <f>p_OM*SIN(P_IM*(A145+p_S))</f>
        <v>-1.9484375300602656E-2</v>
      </c>
      <c r="D145">
        <f>B145*EXP(C145*p_off)</f>
        <v>-1.940789768867007E-11</v>
      </c>
      <c r="F145">
        <f>C145^2+D145^2</f>
        <v>3.7964088085473485E-4</v>
      </c>
      <c r="G145">
        <f t="shared" si="5"/>
        <v>-7.8762848024677794</v>
      </c>
    </row>
    <row r="146" spans="1:7" x14ac:dyDescent="0.25">
      <c r="A146">
        <f t="shared" si="4"/>
        <v>1460</v>
      </c>
      <c r="B146">
        <f>r_OM*SIN(r_IM*(A146+r_S))</f>
        <v>-5.9139723713756724E-3</v>
      </c>
      <c r="C146">
        <f>p_OM*SIN(P_IM*(A146+p_S))</f>
        <v>-1.9406301823479293E-2</v>
      </c>
      <c r="D146">
        <f>B146*EXP(C146*p_off)</f>
        <v>-2.2071380364651396E-11</v>
      </c>
      <c r="F146">
        <f>C146^2+D146^2</f>
        <v>3.7660455046397573E-4</v>
      </c>
      <c r="G146">
        <f t="shared" si="5"/>
        <v>-7.8843148587978229</v>
      </c>
    </row>
    <row r="147" spans="1:7" x14ac:dyDescent="0.25">
      <c r="A147">
        <f t="shared" si="4"/>
        <v>1470</v>
      </c>
      <c r="B147">
        <f>r_OM*SIN(r_IM*(A147+r_S))</f>
        <v>-6.2039352674924378E-3</v>
      </c>
      <c r="C147">
        <f>p_OM*SIN(P_IM*(A147+p_S))</f>
        <v>-1.9323674718527896E-2</v>
      </c>
      <c r="D147">
        <f>B147*EXP(C147*p_off)</f>
        <v>-2.5147913469958392E-11</v>
      </c>
      <c r="F147">
        <f>C147^2+D147^2</f>
        <v>3.7340440462747414E-4</v>
      </c>
      <c r="G147">
        <f t="shared" si="5"/>
        <v>-7.8928485309233478</v>
      </c>
    </row>
    <row r="148" spans="1:7" x14ac:dyDescent="0.25">
      <c r="A148">
        <f t="shared" si="4"/>
        <v>1480</v>
      </c>
      <c r="B148">
        <f>r_OM*SIN(r_IM*(A148+r_S))</f>
        <v>-6.4923921774375521E-3</v>
      </c>
      <c r="C148">
        <f>p_OM*SIN(P_IM*(A148+p_S))</f>
        <v>-1.9236513373939352E-2</v>
      </c>
      <c r="D148">
        <f>B148*EXP(C148*p_off)</f>
        <v>-2.8713963001164238E-11</v>
      </c>
      <c r="F148">
        <f>C148^2+D148^2</f>
        <v>3.7004344678574753E-4</v>
      </c>
      <c r="G148">
        <f t="shared" si="5"/>
        <v>-7.9018901354743685</v>
      </c>
    </row>
    <row r="149" spans="1:7" x14ac:dyDescent="0.25">
      <c r="A149">
        <f t="shared" si="4"/>
        <v>1490</v>
      </c>
      <c r="B149">
        <f>r_OM*SIN(r_IM*(A149+r_S))</f>
        <v>-6.7792730791848867E-3</v>
      </c>
      <c r="C149">
        <f>p_OM*SIN(P_IM*(A149+p_S))</f>
        <v>-1.9144838241849683E-2</v>
      </c>
      <c r="D149">
        <f>B149*EXP(C149*p_off)</f>
        <v>-3.2861359223929566E-11</v>
      </c>
      <c r="F149">
        <f>C149^2+D149^2</f>
        <v>3.665248313065901E-4</v>
      </c>
      <c r="G149">
        <f t="shared" si="5"/>
        <v>-7.9114442863908119</v>
      </c>
    </row>
    <row r="150" spans="1:7" x14ac:dyDescent="0.25">
      <c r="A150">
        <f t="shared" si="4"/>
        <v>1500</v>
      </c>
      <c r="B150">
        <f>r_OM*SIN(r_IM*(A150+r_S))</f>
        <v>-7.0645083332794142E-3</v>
      </c>
      <c r="C150">
        <f>p_OM*SIN(P_IM*(A150+p_S))</f>
        <v>-1.9048670833540962E-2</v>
      </c>
      <c r="D150">
        <f>B150*EXP(C150*p_off)</f>
        <v>-3.7700691076507526E-11</v>
      </c>
      <c r="F150">
        <f>C150^2+D150^2</f>
        <v>3.6285186052459415E-4</v>
      </c>
      <c r="G150">
        <f t="shared" si="5"/>
        <v>-7.9215159047223542</v>
      </c>
    </row>
    <row r="151" spans="1:7" x14ac:dyDescent="0.25">
      <c r="A151">
        <f t="shared" si="4"/>
        <v>1510</v>
      </c>
      <c r="B151">
        <f>r_OM*SIN(r_IM*(A151+r_S))</f>
        <v>-7.3480286997420425E-3</v>
      </c>
      <c r="C151">
        <f>p_OM*SIN(P_IM*(A151+p_S))</f>
        <v>-1.894803371439378E-2</v>
      </c>
      <c r="D151">
        <f>B151*EXP(C151*p_off)</f>
        <v>-4.3365500068595511E-11</v>
      </c>
      <c r="F151">
        <f>C151^2+D151^2</f>
        <v>3.5902798164180332E-4</v>
      </c>
      <c r="G151">
        <f t="shared" si="5"/>
        <v>-7.9321102292214842</v>
      </c>
    </row>
    <row r="152" spans="1:7" x14ac:dyDescent="0.25">
      <c r="A152">
        <f t="shared" si="4"/>
        <v>1520</v>
      </c>
      <c r="B152">
        <f>r_OM*SIN(r_IM*(A152+r_S))</f>
        <v>-7.6297653548773308E-3</v>
      </c>
      <c r="C152">
        <f>p_OM*SIN(P_IM*(A152+p_S))</f>
        <v>-1.8842950498592363E-2</v>
      </c>
      <c r="D152">
        <f>B152*EXP(C152*p_off)</f>
        <v>-5.0017474292018726E-11</v>
      </c>
      <c r="F152">
        <f>C152^2+D152^2</f>
        <v>3.5505678349240217E-4</v>
      </c>
      <c r="G152">
        <f t="shared" si="5"/>
        <v>-7.9432328277803306</v>
      </c>
    </row>
    <row r="153" spans="1:7" x14ac:dyDescent="0.25">
      <c r="A153">
        <f t="shared" si="4"/>
        <v>1530</v>
      </c>
      <c r="B153">
        <f>r_OM*SIN(r_IM*(A153+r_S))</f>
        <v>-7.9096499079803033E-3</v>
      </c>
      <c r="C153">
        <f>p_OM*SIN(P_IM*(A153+p_S))</f>
        <v>-1.8733445843583548E-2</v>
      </c>
      <c r="D153">
        <f>B153*EXP(C153*p_off)</f>
        <v>-5.7852896107259415E-11</v>
      </c>
      <c r="F153">
        <f>C153^2+D153^2</f>
        <v>3.5094199317447773E-4</v>
      </c>
      <c r="G153">
        <f t="shared" si="5"/>
        <v>-7.9548896097667878</v>
      </c>
    </row>
    <row r="154" spans="1:7" x14ac:dyDescent="0.25">
      <c r="A154">
        <f t="shared" si="4"/>
        <v>1540</v>
      </c>
      <c r="B154">
        <f>r_OM*SIN(r_IM*(A154+r_S))</f>
        <v>-8.1876144179380082E-3</v>
      </c>
      <c r="C154">
        <f>p_OM*SIN(P_IM*(A154+p_S))</f>
        <v>-1.8619545444291036E-2</v>
      </c>
      <c r="D154">
        <f>B154*EXP(C154*p_off)</f>
        <v>-6.7110664664686846E-11</v>
      </c>
      <c r="F154">
        <f>C154^2+D154^2</f>
        <v>3.4668747255201909E-4</v>
      </c>
      <c r="G154">
        <f t="shared" si="5"/>
        <v>-7.9670868393209338</v>
      </c>
    </row>
    <row r="155" spans="1:7" x14ac:dyDescent="0.25">
      <c r="A155">
        <f t="shared" si="4"/>
        <v>1550</v>
      </c>
      <c r="B155">
        <f>r_OM*SIN(r_IM*(A155+r_S))</f>
        <v>-8.4635914097220925E-3</v>
      </c>
      <c r="C155">
        <f>p_OM*SIN(P_IM*(A155+p_S))</f>
        <v>-1.8501276027086098E-2</v>
      </c>
      <c r="D155">
        <f>B155*EXP(C155*p_off)</f>
        <v>-7.8082300880316446E-11</v>
      </c>
      <c r="F155">
        <f>C155^2+D155^2</f>
        <v>3.4229721463043076E-4</v>
      </c>
      <c r="G155">
        <f t="shared" si="5"/>
        <v>-7.9798311496787973</v>
      </c>
    </row>
    <row r="156" spans="1:7" x14ac:dyDescent="0.25">
      <c r="A156">
        <f t="shared" si="4"/>
        <v>1560</v>
      </c>
      <c r="B156">
        <f>r_OM*SIN(r_IM*(A156+r_S))</f>
        <v>-8.7375138907680762E-3</v>
      </c>
      <c r="C156">
        <f>p_OM*SIN(P_IM*(A156+p_S))</f>
        <v>-1.8378665343516381E-2</v>
      </c>
      <c r="D156">
        <f>B156*EXP(C156*p_off)</f>
        <v>-9.1124453292404685E-11</v>
      </c>
      <c r="F156">
        <f>C156^2+D156^2</f>
        <v>3.3777533980897009E-4</v>
      </c>
      <c r="G156">
        <f t="shared" si="5"/>
        <v>-7.9931295585970856</v>
      </c>
    </row>
    <row r="157" spans="1:7" x14ac:dyDescent="0.25">
      <c r="A157">
        <f t="shared" si="4"/>
        <v>1570</v>
      </c>
      <c r="B157">
        <f>r_OM*SIN(r_IM*(A157+r_S))</f>
        <v>-9.0093153672376677E-3</v>
      </c>
      <c r="C157">
        <f>p_OM*SIN(P_IM*(A157+p_S))</f>
        <v>-1.8251742163794039E-2</v>
      </c>
      <c r="D157">
        <f>B157*EXP(C157*p_off)</f>
        <v>-1.0667456550649578E-10</v>
      </c>
      <c r="F157">
        <f>C157^2+D157^2</f>
        <v>3.331260920136171E-4</v>
      </c>
      <c r="G157">
        <f t="shared" si="5"/>
        <v>-8.0069894849598811</v>
      </c>
    </row>
    <row r="158" spans="1:7" x14ac:dyDescent="0.25">
      <c r="A158">
        <f t="shared" si="4"/>
        <v>1580</v>
      </c>
      <c r="B158">
        <f>r_OM*SIN(r_IM*(A158+r_S))</f>
        <v>-9.2789298601598652E-3</v>
      </c>
      <c r="C158">
        <f>p_OM*SIN(P_IM*(A158+p_S))</f>
        <v>-1.8120536270044913E-2</v>
      </c>
      <c r="D158">
        <f>B158*EXP(C158*p_off)</f>
        <v>-1.2527054898456331E-10</v>
      </c>
      <c r="F158">
        <f>C158^2+D158^2</f>
        <v>3.2835383471401322E-4</v>
      </c>
      <c r="G158">
        <f t="shared" si="5"/>
        <v>-8.0214187666562982</v>
      </c>
    </row>
    <row r="159" spans="1:7" x14ac:dyDescent="0.25">
      <c r="A159">
        <f t="shared" si="4"/>
        <v>1590</v>
      </c>
      <c r="B159">
        <f>r_OM*SIN(r_IM*(A159+r_S))</f>
        <v>-9.5462919214472208E-3</v>
      </c>
      <c r="C159">
        <f>p_OM*SIN(P_IM*(A159+p_S))</f>
        <v>-1.7985078449320277E-2</v>
      </c>
      <c r="D159">
        <f>B159*EXP(C159*p_off)</f>
        <v>-1.4757554088032359E-10</v>
      </c>
      <c r="F159">
        <f>C159^2+D159^2</f>
        <v>3.2346304682820463E-4</v>
      </c>
      <c r="G159">
        <f t="shared" si="5"/>
        <v>-8.0364256798271008</v>
      </c>
    </row>
    <row r="160" spans="1:7" x14ac:dyDescent="0.25">
      <c r="A160">
        <f t="shared" si="4"/>
        <v>1600</v>
      </c>
      <c r="B160">
        <f>r_OM*SIN(r_IM*(A160+r_S))</f>
        <v>-9.8113366497830957E-3</v>
      </c>
      <c r="C160">
        <f>p_OM*SIN(P_IM*(A160+p_S))</f>
        <v>-1.7845400486372696E-2</v>
      </c>
      <c r="D160">
        <f>B160*EXP(C160*p_off)</f>
        <v>-1.7440913133383758E-10</v>
      </c>
      <c r="F160">
        <f>C160^2+D160^2</f>
        <v>3.184583185190309E-4</v>
      </c>
      <c r="G160">
        <f t="shared" si="5"/>
        <v>-8.0520189595881462</v>
      </c>
    </row>
    <row r="161" spans="1:7" x14ac:dyDescent="0.25">
      <c r="A161">
        <f t="shared" si="4"/>
        <v>1610</v>
      </c>
      <c r="B161">
        <f>r_OM*SIN(r_IM*(A161+r_S))</f>
        <v>-1.0073999706376308E-2</v>
      </c>
      <c r="C161">
        <f>p_OM*SIN(P_IM*(A161+p_S))</f>
        <v>-1.7701535156197899E-2</v>
      </c>
      <c r="D161">
        <f>B161*EXP(C161*p_off)</f>
        <v>-2.0678683889979651E-10</v>
      </c>
      <c r="F161">
        <f>C161^2+D161^2</f>
        <v>3.1334434688611024E-4</v>
      </c>
      <c r="G161">
        <f t="shared" si="5"/>
        <v>-8.0682078223495459</v>
      </c>
    </row>
    <row r="162" spans="1:7" x14ac:dyDescent="0.25">
      <c r="A162">
        <f t="shared" si="4"/>
        <v>1620</v>
      </c>
      <c r="B162">
        <f>r_OM*SIN(r_IM*(A162+r_S))</f>
        <v>-1.0334217330579135E-2</v>
      </c>
      <c r="C162">
        <f>p_OM*SIN(P_IM*(A162+p_S))</f>
        <v>-1.7553516216344166E-2</v>
      </c>
      <c r="D162">
        <f>B162*EXP(C162*p_off)</f>
        <v>-2.4597012387165804E-10</v>
      </c>
      <c r="F162">
        <f>C162^2+D162^2</f>
        <v>3.0812593155745766E-4</v>
      </c>
      <c r="G162">
        <f t="shared" si="5"/>
        <v>-8.0850019898616825</v>
      </c>
    </row>
    <row r="163" spans="1:7" x14ac:dyDescent="0.25">
      <c r="A163">
        <f t="shared" si="4"/>
        <v>1630</v>
      </c>
      <c r="B163">
        <f>r_OM*SIN(r_IM*(A163+r_S))</f>
        <v>-1.0591926355365051E-2</v>
      </c>
      <c r="C163">
        <f>p_OM*SIN(P_IM*(A163+p_S))</f>
        <v>-1.7401378398991273E-2</v>
      </c>
      <c r="D163">
        <f>B163*EXP(C163*p_off)</f>
        <v>-2.9352989303057087E-10</v>
      </c>
      <c r="F163">
        <f>C163^2+D163^2</f>
        <v>3.0280797018488018E-4</v>
      </c>
      <c r="G163">
        <f t="shared" si="5"/>
        <v>-8.1024117151328561</v>
      </c>
    </row>
    <row r="164" spans="1:7" x14ac:dyDescent="0.25">
      <c r="A164">
        <f t="shared" si="4"/>
        <v>1640</v>
      </c>
      <c r="B164">
        <f>r_OM*SIN(r_IM*(A164+r_S))</f>
        <v>-1.0847064222662288E-2</v>
      </c>
      <c r="C164">
        <f>p_OM*SIN(P_IM*(A164+p_S))</f>
        <v>-1.7245157402800672E-2</v>
      </c>
      <c r="D164">
        <f>B164*EXP(C164*p_off)</f>
        <v>-3.5142731299732204E-10</v>
      </c>
      <c r="F164">
        <f>C164^2+D164^2</f>
        <v>2.9739545384737092E-4</v>
      </c>
      <c r="G164">
        <f t="shared" si="5"/>
        <v>-8.1204478103786251</v>
      </c>
    </row>
    <row r="165" spans="1:7" x14ac:dyDescent="0.25">
      <c r="A165">
        <f t="shared" si="4"/>
        <v>1650</v>
      </c>
      <c r="B165">
        <f>r_OM*SIN(r_IM*(A165+r_S))</f>
        <v>-1.109956899853966E-2</v>
      </c>
      <c r="C165">
        <f>p_OM*SIN(P_IM*(A165+p_S))</f>
        <v>-1.7084889884538899E-2</v>
      </c>
      <c r="D165">
        <f>B165*EXP(C165*p_off)</f>
        <v>-4.2211687514528422E-10</v>
      </c>
      <c r="F165">
        <f>C165^2+D165^2</f>
        <v>2.9189346236681979E-4</v>
      </c>
      <c r="G165">
        <f t="shared" si="5"/>
        <v>-8.1391216771798902</v>
      </c>
    </row>
    <row r="166" spans="1:7" x14ac:dyDescent="0.25">
      <c r="A166">
        <f t="shared" si="4"/>
        <v>1660</v>
      </c>
      <c r="B166">
        <f>r_OM*SIN(r_IM*(A166+r_S))</f>
        <v>-1.1349379388240795E-2</v>
      </c>
      <c r="C166">
        <f>p_OM*SIN(P_IM*(A166+p_S))</f>
        <v>-1.692061345047623E-2</v>
      </c>
      <c r="D166">
        <f>B166*EXP(C166*p_off)</f>
        <v>-5.086781251615379E-10</v>
      </c>
      <c r="F166">
        <f>C166^2+D166^2</f>
        <v>2.8630715954043742E-4</v>
      </c>
      <c r="G166">
        <f t="shared" si="5"/>
        <v>-8.1584453390459561</v>
      </c>
    </row>
    <row r="167" spans="1:7" x14ac:dyDescent="0.25">
      <c r="A167">
        <f t="shared" si="4"/>
        <v>1670</v>
      </c>
      <c r="B167">
        <f>r_OM*SIN(r_IM*(A167+r_S))</f>
        <v>-1.1596434751063256E-2</v>
      </c>
      <c r="C167">
        <f>p_OM*SIN(P_IM*(A167+p_S))</f>
        <v>-1.6752366647562425E-2</v>
      </c>
      <c r="D167">
        <f>B167*EXP(C167*p_off)</f>
        <v>-6.1498439359032212E-10</v>
      </c>
      <c r="F167">
        <f>C167^2+D167^2</f>
        <v>2.8064178829436228E-4</v>
      </c>
      <c r="G167">
        <f t="shared" si="5"/>
        <v>-8.178431476600208</v>
      </c>
    </row>
    <row r="168" spans="1:7" x14ac:dyDescent="0.25">
      <c r="A168">
        <f t="shared" si="4"/>
        <v>1680</v>
      </c>
      <c r="B168">
        <f>r_OM*SIN(r_IM*(A168+r_S))</f>
        <v>-1.1840675115078922E-2</v>
      </c>
      <c r="C168">
        <f>p_OM*SIN(P_IM*(A168+p_S))</f>
        <v>-1.6580188954381857E-2</v>
      </c>
      <c r="D168">
        <f>B168*EXP(C168*p_off)</f>
        <v>-7.4591938417026133E-10</v>
      </c>
      <c r="F168">
        <f>C168^2+D168^2</f>
        <v>2.7490266576300667E-4</v>
      </c>
      <c r="G168">
        <f t="shared" si="5"/>
        <v>-8.1990934656301722</v>
      </c>
    </row>
    <row r="169" spans="1:7" x14ac:dyDescent="0.25">
      <c r="A169">
        <f t="shared" si="4"/>
        <v>1690</v>
      </c>
      <c r="B169">
        <f>r_OM*SIN(r_IM*(A169+r_S))</f>
        <v>-1.2082041191691924E-2</v>
      </c>
      <c r="C169">
        <f>p_OM*SIN(P_IM*(A169+p_S))</f>
        <v>-1.6404120771889946E-2</v>
      </c>
      <c r="D169">
        <f>B169*EXP(C169*p_off)</f>
        <v>-9.0765578571952159E-10</v>
      </c>
      <c r="F169">
        <f>C169^2+D169^2</f>
        <v>2.6909517829875202E-4</v>
      </c>
      <c r="G169">
        <f t="shared" si="5"/>
        <v>-8.220445418270975</v>
      </c>
    </row>
    <row r="170" spans="1:7" x14ac:dyDescent="0.25">
      <c r="A170">
        <f t="shared" si="4"/>
        <v>1700</v>
      </c>
      <c r="B170">
        <f>r_OM*SIN(r_IM*(A170+r_S))</f>
        <v>-1.2320474390030839E-2</v>
      </c>
      <c r="C170">
        <f>p_OM*SIN(P_IM*(A170+p_S))</f>
        <v>-1.6224203413933248E-2</v>
      </c>
      <c r="D170">
        <f>B170*EXP(C170*p_off)</f>
        <v>-1.108014424873664E-9</v>
      </c>
      <c r="F170">
        <f>C170^2+D170^2</f>
        <v>2.6322477641668452E-4</v>
      </c>
      <c r="G170">
        <f t="shared" si="5"/>
        <v>-8.2425022276218129</v>
      </c>
    </row>
    <row r="171" spans="1:7" x14ac:dyDescent="0.25">
      <c r="A171">
        <f t="shared" si="4"/>
        <v>1710</v>
      </c>
      <c r="B171">
        <f>r_OM*SIN(r_IM*(A171+r_S))</f>
        <v>-1.2555916831171373E-2</v>
      </c>
      <c r="C171">
        <f>p_OM*SIN(P_IM*(A171+p_S))</f>
        <v>-1.6040479097555231E-2</v>
      </c>
      <c r="D171">
        <f>B171*EXP(C171*p_off)</f>
        <v>-1.3569282093832974E-9</v>
      </c>
      <c r="F171">
        <f>C171^2+D171^2</f>
        <v>2.5729696967910813E-4</v>
      </c>
      <c r="G171">
        <f t="shared" si="5"/>
        <v>-8.2652796161298863</v>
      </c>
    </row>
    <row r="172" spans="1:7" x14ac:dyDescent="0.25">
      <c r="A172">
        <f t="shared" si="4"/>
        <v>1720</v>
      </c>
      <c r="B172">
        <f>r_OM*SIN(r_IM*(A172+r_S))</f>
        <v>-1.2788311362186364E-2</v>
      </c>
      <c r="C172">
        <f>p_OM*SIN(P_IM*(A172+p_S))</f>
        <v>-1.5852990933090224E-2</v>
      </c>
      <c r="D172">
        <f>B172*EXP(C172*p_off)</f>
        <v>-1.6670426757523113E-9</v>
      </c>
      <c r="F172">
        <f>C172^2+D172^2</f>
        <v>2.5131732152464364E-4</v>
      </c>
      <c r="G172">
        <f t="shared" si="5"/>
        <v>-8.2887941881154639</v>
      </c>
    </row>
    <row r="173" spans="1:7" x14ac:dyDescent="0.25">
      <c r="A173">
        <f t="shared" si="4"/>
        <v>1730</v>
      </c>
      <c r="B173">
        <f>r_OM*SIN(r_IM*(A173+r_S))</f>
        <v>-1.3017601570019405E-2</v>
      </c>
      <c r="C173">
        <f>p_OM*SIN(P_IM*(A173+p_S))</f>
        <v>-1.5661782914047719E-2</v>
      </c>
      <c r="D173">
        <f>B173*EXP(C173*p_off)</f>
        <v>-2.0544949524585296E-9</v>
      </c>
      <c r="F173">
        <f>C173^2+D173^2</f>
        <v>2.452914440467613E-4</v>
      </c>
      <c r="G173">
        <f t="shared" si="5"/>
        <v>-8.3130634868566027</v>
      </c>
    </row>
    <row r="174" spans="1:7" x14ac:dyDescent="0.25">
      <c r="A174">
        <f t="shared" si="4"/>
        <v>1740</v>
      </c>
      <c r="B174">
        <f>r_OM*SIN(r_IM*(A174+r_S))</f>
        <v>-1.3243731795179015E-2</v>
      </c>
      <c r="C174">
        <f>p_OM*SIN(P_IM*(A174+p_S))</f>
        <v>-1.5466899906789374E-2</v>
      </c>
      <c r="D174">
        <f>B174*EXP(C174*p_off)</f>
        <v>-2.5399261850679064E-9</v>
      </c>
      <c r="F174">
        <f>C174^2+D174^2</f>
        <v>2.3922499272664759E-4</v>
      </c>
      <c r="G174">
        <f t="shared" si="5"/>
        <v>-8.3381060567027614</v>
      </c>
    </row>
    <row r="175" spans="1:7" x14ac:dyDescent="0.25">
      <c r="A175">
        <f t="shared" si="4"/>
        <v>1750</v>
      </c>
      <c r="B175">
        <f>r_OM*SIN(r_IM*(A175+r_S))</f>
        <v>-1.3466647145249732E-2</v>
      </c>
      <c r="C175">
        <f>p_OM*SIN(P_IM*(A175+p_S))</f>
        <v>-1.5268387640001341E-2</v>
      </c>
      <c r="D175">
        <f>B175*EXP(C175*p_off)</f>
        <v>-3.1498000185597715E-9</v>
      </c>
      <c r="F175">
        <f>C175^2+D175^2</f>
        <v>2.3312366112535564E-4</v>
      </c>
      <c r="G175">
        <f t="shared" si="5"/>
        <v>-8.3639415107446986</v>
      </c>
    </row>
    <row r="176" spans="1:7" x14ac:dyDescent="0.25">
      <c r="A176">
        <f t="shared" si="4"/>
        <v>1760</v>
      </c>
      <c r="B176">
        <f>r_OM*SIN(r_IM*(A176+r_S))</f>
        <v>-1.3686293508217155E-2</v>
      </c>
      <c r="C176">
        <f>p_OM*SIN(P_IM*(A176+p_S))</f>
        <v>-1.506629269396409E-2</v>
      </c>
      <c r="D176">
        <f>B176*EXP(C176*p_off)</f>
        <v>-3.9181230375189632E-9</v>
      </c>
      <c r="F176">
        <f>C176^2+D176^2</f>
        <v>2.2699317554021104E-4</v>
      </c>
      <c r="G176">
        <f t="shared" si="5"/>
        <v>-8.3905906046343048</v>
      </c>
    </row>
    <row r="177" spans="1:7" x14ac:dyDescent="0.25">
      <c r="A177">
        <f t="shared" si="4"/>
        <v>1770</v>
      </c>
      <c r="B177">
        <f>r_OM*SIN(r_IM*(A177+r_S))</f>
        <v>-1.3902617565603393E-2</v>
      </c>
      <c r="C177">
        <f>p_OM*SIN(P_IM*(A177+p_S))</f>
        <v>-1.4860662489622582E-2</v>
      </c>
      <c r="D177">
        <f>B177*EXP(C177*p_off)</f>
        <v>-4.8886940619424582E-9</v>
      </c>
      <c r="F177">
        <f>C177^2+D177^2</f>
        <v>2.2083928963049956E-4</v>
      </c>
      <c r="G177">
        <f t="shared" si="5"/>
        <v>-8.4180753172240461</v>
      </c>
    </row>
    <row r="178" spans="1:7" x14ac:dyDescent="0.25">
      <c r="A178">
        <f t="shared" si="4"/>
        <v>1780</v>
      </c>
      <c r="B178">
        <f>r_OM*SIN(r_IM*(A178+r_S))</f>
        <v>-1.4115566805410033E-2</v>
      </c>
      <c r="C178">
        <f>p_OM*SIN(P_IM*(A178+p_S))</f>
        <v>-1.4651545277459007E-2</v>
      </c>
      <c r="D178">
        <f>B178*EXP(C178*p_off)</f>
        <v>-6.1180504854646947E-9</v>
      </c>
      <c r="F178">
        <f>C178^2+D178^2</f>
        <v>2.1466777901746876E-4</v>
      </c>
      <c r="G178">
        <f t="shared" si="5"/>
        <v>-8.4464189387830597</v>
      </c>
    </row>
    <row r="179" spans="1:7" x14ac:dyDescent="0.25">
      <c r="A179">
        <f t="shared" si="4"/>
        <v>1790</v>
      </c>
      <c r="B179">
        <f>r_OM*SIN(r_IM*(A179+r_S))</f>
        <v>-1.4325089534865209E-2</v>
      </c>
      <c r="C179">
        <f>p_OM*SIN(P_IM*(A179+p_S))</f>
        <v>-1.4438990126171E-2</v>
      </c>
      <c r="D179">
        <f>B179*EXP(C179*p_off)</f>
        <v>-7.6793349213482971E-9</v>
      </c>
      <c r="F179">
        <f>C179^2+D179^2</f>
        <v>2.084844358637226E-4</v>
      </c>
      <c r="G179">
        <f t="shared" si="5"/>
        <v>-8.4756461676473513</v>
      </c>
    </row>
    <row r="180" spans="1:7" x14ac:dyDescent="0.25">
      <c r="A180">
        <f t="shared" si="4"/>
        <v>1800</v>
      </c>
      <c r="B180">
        <f>r_OM*SIN(r_IM*(A180+r_S))</f>
        <v>-1.4531134892971894E-2</v>
      </c>
      <c r="C180">
        <f>p_OM*SIN(P_IM*(A180+p_S))</f>
        <v>-1.4223046911157862E-2</v>
      </c>
      <c r="D180">
        <f>B180*EXP(C180*p_off)</f>
        <v>-9.6673789996153394E-9</v>
      </c>
      <c r="F180">
        <f>C180^2+D180^2</f>
        <v>2.0229506343709066E-4</v>
      </c>
      <c r="G180">
        <f t="shared" si="5"/>
        <v>-8.5057832162776812</v>
      </c>
    </row>
    <row r="181" spans="1:7" x14ac:dyDescent="0.25">
      <c r="A181">
        <f t="shared" si="4"/>
        <v>1810</v>
      </c>
      <c r="B181">
        <f>r_OM*SIN(r_IM*(A181+r_S))</f>
        <v>-1.4733652862854236E-2</v>
      </c>
      <c r="C181">
        <f>p_OM*SIN(P_IM*(A181+p_S))</f>
        <v>-1.4003766302817364E-2</v>
      </c>
      <c r="D181">
        <f>B181*EXP(C181*p_off)</f>
        <v>-1.2205399586114113E-8</v>
      </c>
      <c r="F181">
        <f>C181^2+D181^2</f>
        <v>1.9610547066407208E-4</v>
      </c>
      <c r="G181">
        <f t="shared" si="5"/>
        <v>-8.536857927833033</v>
      </c>
    </row>
    <row r="182" spans="1:7" x14ac:dyDescent="0.25">
      <c r="A182">
        <f t="shared" si="4"/>
        <v>1820</v>
      </c>
      <c r="B182">
        <f>r_OM*SIN(r_IM*(A182+r_S))</f>
        <v>-1.4932594283899021E-2</v>
      </c>
      <c r="C182">
        <f>p_OM*SIN(P_IM*(A182+p_S))</f>
        <v>-1.3781199754656201E-2</v>
      </c>
      <c r="D182">
        <f>B182*EXP(C182*p_off)</f>
        <v>-1.5453834541203212E-8</v>
      </c>
      <c r="F182">
        <f>C182^2+D182^2</f>
        <v>1.8992146667797498E-4</v>
      </c>
      <c r="G182">
        <f t="shared" si="5"/>
        <v>-8.5688999045233469</v>
      </c>
    </row>
    <row r="183" spans="1:7" x14ac:dyDescent="0.25">
      <c r="A183">
        <f t="shared" si="4"/>
        <v>1830</v>
      </c>
      <c r="B183">
        <f>r_OM*SIN(r_IM*(A183+r_S))</f>
        <v>-1.5127910863689222E-2</v>
      </c>
      <c r="C183">
        <f>p_OM*SIN(P_IM*(A183+p_S))</f>
        <v>-1.3555399491216485E-2</v>
      </c>
      <c r="D183">
        <f>B183*EXP(C183*p_off)</f>
        <v>-1.9622021980660549E-8</v>
      </c>
      <c r="F183">
        <f>C183^2+D183^2</f>
        <v>1.8374885536685717E-4</v>
      </c>
      <c r="G183">
        <f t="shared" si="5"/>
        <v>-8.6019406491867461</v>
      </c>
    </row>
    <row r="184" spans="1:7" x14ac:dyDescent="0.25">
      <c r="A184">
        <f t="shared" si="4"/>
        <v>1840</v>
      </c>
      <c r="B184">
        <f>r_OM*SIN(r_IM*(A184+r_S))</f>
        <v>-1.5319555189726882E-2</v>
      </c>
      <c r="C184">
        <f>p_OM*SIN(P_IM*(A184+p_S))</f>
        <v>-1.3326418495821519E-2</v>
      </c>
      <c r="D184">
        <f>B184*EXP(C184*p_off)</f>
        <v>-2.4983664503104145E-8</v>
      </c>
      <c r="F184">
        <f>C184^2+D184^2</f>
        <v>1.7759342992639804E-4</v>
      </c>
      <c r="G184">
        <f t="shared" si="5"/>
        <v>-8.6360137217481547</v>
      </c>
    </row>
    <row r="185" spans="1:7" x14ac:dyDescent="0.25">
      <c r="A185">
        <f t="shared" si="4"/>
        <v>1850</v>
      </c>
      <c r="B185">
        <f>r_OM*SIN(r_IM*(A185+r_S))</f>
        <v>-1.5507480740942325E-2</v>
      </c>
      <c r="C185">
        <f>p_OM*SIN(P_IM*(A185+p_S))</f>
        <v>-1.3094310498143342E-2</v>
      </c>
      <c r="D185">
        <f>B185*EXP(C185*p_off)</f>
        <v>-3.1897339203596297E-8</v>
      </c>
      <c r="F185">
        <f>C185^2+D185^2</f>
        <v>1.714609674228044E-4</v>
      </c>
      <c r="G185">
        <f t="shared" si="5"/>
        <v>-8.6711549124643046</v>
      </c>
    </row>
    <row r="186" spans="1:7" x14ac:dyDescent="0.25">
      <c r="A186">
        <f t="shared" si="4"/>
        <v>1860</v>
      </c>
      <c r="B186">
        <f>r_OM*SIN(r_IM*(A186+r_S))</f>
        <v>-1.5691641898986981E-2</v>
      </c>
      <c r="C186">
        <f>p_OM*SIN(P_IM*(A186+p_S))</f>
        <v>-1.2859129961595269E-2</v>
      </c>
      <c r="D186">
        <f>B186*EXP(C186*p_off)</f>
        <v>-4.0833744222009147E-8</v>
      </c>
      <c r="F186">
        <f>C186^2+D186^2</f>
        <v>1.6535722337086454E-4</v>
      </c>
      <c r="G186">
        <f t="shared" si="5"/>
        <v>-8.7074024341512803</v>
      </c>
    </row>
    <row r="187" spans="1:7" x14ac:dyDescent="0.25">
      <c r="A187">
        <f t="shared" si="4"/>
        <v>1870</v>
      </c>
      <c r="B187">
        <f>r_OM*SIN(r_IM*(A187+r_S))</f>
        <v>-1.5871993959307149E-2</v>
      </c>
      <c r="C187">
        <f>p_OM*SIN(P_IM*(A187+p_S))</f>
        <v>-1.2620932070552258E-2</v>
      </c>
      <c r="D187">
        <f>B187*EXP(C187*p_off)</f>
        <v>-5.2411952023340996E-8</v>
      </c>
      <c r="F187">
        <f>C187^2+D187^2</f>
        <v>1.5928792633224153E-4</v>
      </c>
      <c r="G187">
        <f t="shared" si="5"/>
        <v>-8.7447971359341814</v>
      </c>
    </row>
    <row r="188" spans="1:7" x14ac:dyDescent="0.25">
      <c r="A188">
        <f t="shared" si="4"/>
        <v>1880</v>
      </c>
      <c r="B188">
        <f>r_OM*SIN(r_IM*(A188+r_S))</f>
        <v>-1.6048493141995857E-2</v>
      </c>
      <c r="C188">
        <f>p_OM*SIN(P_IM*(A188+p_S))</f>
        <v>-1.237977271740197E-2</v>
      </c>
      <c r="D188">
        <f>B188*EXP(C188*p_off)</f>
        <v>-6.7447721432009292E-8</v>
      </c>
      <c r="F188">
        <f>C188^2+D188^2</f>
        <v>1.5325877253907937E-4</v>
      </c>
      <c r="G188">
        <f t="shared" si="5"/>
        <v>-8.7833827414644023</v>
      </c>
    </row>
    <row r="189" spans="1:7" x14ac:dyDescent="0.25">
      <c r="A189">
        <f t="shared" si="4"/>
        <v>1890</v>
      </c>
      <c r="B189">
        <f>r_OM*SIN(r_IM*(A189+r_S))</f>
        <v>-1.6221096602420319E-2</v>
      </c>
      <c r="C189">
        <f>p_OM*SIN(P_IM*(A189+p_S))</f>
        <v>-1.2135708489429924E-2</v>
      </c>
      <c r="D189">
        <f>B189*EXP(C189*p_off)</f>
        <v>-8.7017976432991263E-8</v>
      </c>
      <c r="F189">
        <f>C189^2+D189^2</f>
        <v>1.4727542054799366E-4</v>
      </c>
      <c r="G189">
        <f t="shared" si="5"/>
        <v>-8.823206115031871</v>
      </c>
    </row>
    <row r="190" spans="1:7" x14ac:dyDescent="0.25">
      <c r="A190">
        <f t="shared" si="4"/>
        <v>1900</v>
      </c>
      <c r="B190">
        <f>r_OM*SIN(r_IM*(A190+r_S))</f>
        <v>-1.6389762441622293E-2</v>
      </c>
      <c r="C190">
        <f>p_OM*SIN(P_IM*(A190+p_S))</f>
        <v>-1.188879665554134E-2</v>
      </c>
      <c r="D190">
        <f>B190*EXP(C190*p_off)</f>
        <v>-1.1254698748380807E-7</v>
      </c>
      <c r="F190">
        <f>C190^2+D190^2</f>
        <v>1.4134348592947777E-4</v>
      </c>
      <c r="G190">
        <f t="shared" si="5"/>
        <v>-8.8643175595737116</v>
      </c>
    </row>
    <row r="191" spans="1:7" x14ac:dyDescent="0.25">
      <c r="A191">
        <f t="shared" si="4"/>
        <v>1910</v>
      </c>
      <c r="B191">
        <f>r_OM*SIN(r_IM*(A191+r_S))</f>
        <v>-1.6554449716488989E-2</v>
      </c>
      <c r="C191">
        <f>p_OM*SIN(P_IM*(A191+p_S))</f>
        <v>-1.1639095152823279E-2</v>
      </c>
      <c r="D191">
        <f>B191*EXP(C191*p_off)</f>
        <v>-1.4592172325897731E-7</v>
      </c>
      <c r="F191">
        <f>C191^2+D191^2</f>
        <v>1.3546853599776749E-4</v>
      </c>
      <c r="G191">
        <f t="shared" si="5"/>
        <v>-8.9067711512672005</v>
      </c>
    </row>
    <row r="192" spans="1:7" x14ac:dyDescent="0.25">
      <c r="A192">
        <f t="shared" si="4"/>
        <v>1920</v>
      </c>
      <c r="B192">
        <f>r_OM*SIN(r_IM*(A192+r_S))</f>
        <v>-1.671511844969184E-2</v>
      </c>
      <c r="C192">
        <f>p_OM*SIN(P_IM*(A192+p_S))</f>
        <v>-1.138666257294981E-2</v>
      </c>
      <c r="D192">
        <f>B192*EXP(C192*p_off)</f>
        <v>-1.8964645796987244E-7</v>
      </c>
      <c r="F192">
        <f>C192^2+D192^2</f>
        <v>1.2965608458618175E-4</v>
      </c>
      <c r="G192">
        <f t="shared" si="5"/>
        <v>-8.9506251162194097</v>
      </c>
    </row>
    <row r="193" spans="1:7" x14ac:dyDescent="0.25">
      <c r="A193">
        <f t="shared" si="4"/>
        <v>1930</v>
      </c>
      <c r="B193">
        <f>r_OM*SIN(r_IM*(A193+r_S))</f>
        <v>-1.68717296393909E-2</v>
      </c>
      <c r="C193">
        <f>p_OM*SIN(P_IM*(A193+p_S))</f>
        <v>-1.1131558148433677E-2</v>
      </c>
      <c r="D193">
        <f>B193*EXP(C193*p_off)</f>
        <v>-2.4705026757227843E-7</v>
      </c>
      <c r="F193">
        <f>C193^2+D193^2</f>
        <v>1.2391158687299401E-4</v>
      </c>
      <c r="G193">
        <f t="shared" si="5"/>
        <v>-8.9959422557598678</v>
      </c>
    </row>
    <row r="194" spans="1:7" x14ac:dyDescent="0.25">
      <c r="A194">
        <f t="shared" si="4"/>
        <v>1940</v>
      </c>
      <c r="B194">
        <f>r_OM*SIN(r_IM*(A194+r_S))</f>
        <v>-1.702424526870237E-2</v>
      </c>
      <c r="C194">
        <f>p_OM*SIN(P_IM*(A194+p_S))</f>
        <v>-1.0873841738727633E-2</v>
      </c>
      <c r="D194">
        <f>B194*EXP(C194*p_off)</f>
        <v>-3.2256586228459622E-7</v>
      </c>
      <c r="F194">
        <f>C194^2+D194^2</f>
        <v>1.1824043426294394E-4</v>
      </c>
      <c r="G194">
        <f t="shared" si="5"/>
        <v>-9.0427904280466347</v>
      </c>
    </row>
    <row r="195" spans="1:7" x14ac:dyDescent="0.25">
      <c r="A195">
        <f t="shared" ref="A195:A258" si="6">ROW()*10</f>
        <v>1950</v>
      </c>
      <c r="B195">
        <f>r_OM*SIN(r_IM*(A195+r_S))</f>
        <v>-1.7172628314927149E-2</v>
      </c>
      <c r="C195">
        <f>p_OM*SIN(P_IM*(A195+p_S))</f>
        <v>-1.0613573816178501E-2</v>
      </c>
      <c r="D195">
        <f>B195*EXP(C195*p_off)</f>
        <v>-4.2210473944652886E-7</v>
      </c>
      <c r="F195">
        <f>C195^2+D195^2</f>
        <v>1.1264794932964228E-4</v>
      </c>
      <c r="G195">
        <f t="shared" ref="G195:G258" si="7">LN(F195)</f>
        <v>-9.0912430951607934</v>
      </c>
    </row>
    <row r="196" spans="1:7" x14ac:dyDescent="0.25">
      <c r="A196">
        <f t="shared" si="6"/>
        <v>1960</v>
      </c>
      <c r="B196">
        <f>r_OM*SIN(r_IM*(A196+r_S))</f>
        <v>-1.7316842758537943E-2</v>
      </c>
      <c r="C196">
        <f>p_OM*SIN(P_IM*(A196+p_S))</f>
        <v>-1.0350815451837646E-2</v>
      </c>
      <c r="D196">
        <f>B196*EXP(C196*p_off)</f>
        <v>-5.535625223121565E-7</v>
      </c>
      <c r="F196">
        <f>C196^2+D196^2</f>
        <v>1.0713938082443245E-4</v>
      </c>
      <c r="G196">
        <f t="shared" si="7"/>
        <v>-9.1413799466542329</v>
      </c>
    </row>
    <row r="197" spans="1:7" x14ac:dyDescent="0.25">
      <c r="A197">
        <f t="shared" si="6"/>
        <v>1970</v>
      </c>
      <c r="B197">
        <f>r_OM*SIN(r_IM*(A197+r_S))</f>
        <v>-1.7456853591922904E-2</v>
      </c>
      <c r="C197">
        <f>p_OM*SIN(P_IM*(A197+p_S))</f>
        <v>-1.008562830113072E-2</v>
      </c>
      <c r="D197">
        <f>B197*EXP(C197*p_off)</f>
        <v>-7.2750042581461973E-7</v>
      </c>
      <c r="F197">
        <f>C197^2+D197^2</f>
        <v>1.0171989875782581E-4</v>
      </c>
      <c r="G197">
        <f t="shared" si="7"/>
        <v>-9.1932876127133891</v>
      </c>
    </row>
    <row r="198" spans="1:7" x14ac:dyDescent="0.25">
      <c r="A198">
        <f t="shared" si="6"/>
        <v>1980</v>
      </c>
      <c r="B198">
        <f>r_OM*SIN(r_IM*(A198+r_S))</f>
        <v>-1.7592626827883588E-2</v>
      </c>
      <c r="C198">
        <f>p_OM*SIN(P_IM*(A198+p_S))</f>
        <v>-9.8180745893905411E-3</v>
      </c>
      <c r="D198">
        <f>B198*EXP(C198*p_off)</f>
        <v>-9.5806521772235003E-7</v>
      </c>
      <c r="F198">
        <f>C198^2+D198^2</f>
        <v>9.6394589560725203E-5</v>
      </c>
      <c r="G198">
        <f t="shared" si="7"/>
        <v>-9.2470604828115768</v>
      </c>
    </row>
    <row r="199" spans="1:7" x14ac:dyDescent="0.25">
      <c r="A199">
        <f t="shared" si="6"/>
        <v>1990</v>
      </c>
      <c r="B199">
        <f>r_OM*SIN(r_IM*(A199+r_S))</f>
        <v>-1.7724129507885295E-2</v>
      </c>
      <c r="C199">
        <f>p_OM*SIN(P_IM*(A199+p_S))</f>
        <v>-9.5482170972560013E-3</v>
      </c>
      <c r="D199">
        <f>B199*EXP(C199*p_off)</f>
        <v>-1.2642324030023351E-6</v>
      </c>
      <c r="F199">
        <f>C199^2+D199^2</f>
        <v>9.1168451334615398E-5</v>
      </c>
      <c r="G199">
        <f t="shared" si="7"/>
        <v>-9.3028016490795178</v>
      </c>
    </row>
    <row r="200" spans="1:7" x14ac:dyDescent="0.25">
      <c r="A200">
        <f t="shared" si="6"/>
        <v>2000</v>
      </c>
      <c r="B200">
        <f>r_OM*SIN(r_IM*(A200+r_S))</f>
        <v>-1.785132971005763E-2</v>
      </c>
      <c r="C200">
        <f>p_OM*SIN(P_IM*(A200+p_S))</f>
        <v>-9.2761191459408282E-3</v>
      </c>
      <c r="D200">
        <f>B200*EXP(C200*p_off)</f>
        <v>-1.6714878067446269E-6</v>
      </c>
      <c r="F200">
        <f>C200^2+D200^2</f>
        <v>8.6046389203561479E-5</v>
      </c>
      <c r="G200">
        <f t="shared" si="7"/>
        <v>-9.3606239977959529</v>
      </c>
    </row>
    <row r="201" spans="1:7" x14ac:dyDescent="0.25">
      <c r="A201">
        <f t="shared" si="6"/>
        <v>2010</v>
      </c>
      <c r="B201">
        <f>r_OM*SIN(r_IM*(A201+r_S))</f>
        <v>-1.7974196556943402E-2</v>
      </c>
      <c r="C201">
        <f>p_OM*SIN(P_IM*(A201+p_S))</f>
        <v>-9.0018445823755178E-3</v>
      </c>
      <c r="D201">
        <f>B201*EXP(C201*p_off)</f>
        <v>-2.2141042090619486E-6</v>
      </c>
      <c r="F201">
        <f>C201^2+D201^2</f>
        <v>8.1033210787500906E-5</v>
      </c>
      <c r="G201">
        <f t="shared" si="7"/>
        <v>-9.4206514776006198</v>
      </c>
    </row>
    <row r="202" spans="1:7" x14ac:dyDescent="0.25">
      <c r="A202">
        <f t="shared" si="6"/>
        <v>2020</v>
      </c>
      <c r="B202">
        <f>r_OM*SIN(r_IM*(A202+r_S))</f>
        <v>-1.8092700222994099E-2</v>
      </c>
      <c r="C202">
        <f>p_OM*SIN(P_IM*(A202+p_S))</f>
        <v>-8.7254577642257337E-3</v>
      </c>
      <c r="D202">
        <f>B202*EXP(C202*p_off)</f>
        <v>-2.9382262092387983E-6</v>
      </c>
      <c r="F202">
        <f>C202^2+D202^2</f>
        <v>7.6133621828460384E-5</v>
      </c>
      <c r="G202">
        <f t="shared" si="7"/>
        <v>-9.4830205795171594</v>
      </c>
    </row>
    <row r="203" spans="1:7" x14ac:dyDescent="0.25">
      <c r="A203">
        <f t="shared" si="6"/>
        <v>2030</v>
      </c>
      <c r="B203">
        <f>r_OM*SIN(r_IM*(A203+r_S))</f>
        <v>-1.8206811941809901E-2</v>
      </c>
      <c r="C203">
        <f>p_OM*SIN(P_IM*(A203+p_S))</f>
        <v>-8.4470235447911164E-3</v>
      </c>
      <c r="D203">
        <f>B203*EXP(C203*p_off)</f>
        <v>-3.9060535450261836E-6</v>
      </c>
      <c r="F203">
        <f>C203^2+D203^2</f>
        <v>7.135222202350977E-5</v>
      </c>
      <c r="G203">
        <f t="shared" si="7"/>
        <v>-9.5478820719403679</v>
      </c>
    </row>
    <row r="204" spans="1:7" x14ac:dyDescent="0.25">
      <c r="A204">
        <f t="shared" si="6"/>
        <v>2040</v>
      </c>
      <c r="B204">
        <f>r_OM*SIN(r_IM*(A204+r_S))</f>
        <v>-1.8316504013122653E-2</v>
      </c>
      <c r="C204">
        <f>p_OM*SIN(P_IM*(A204+p_S))</f>
        <v>-8.1666072577875285E-3</v>
      </c>
      <c r="D204">
        <f>B204*EXP(C204*p_off)</f>
        <v>-5.2015181414258997E-6</v>
      </c>
      <c r="F204">
        <f>C204^2+D204^2</f>
        <v>6.6693501158738904E-5</v>
      </c>
      <c r="G204">
        <f t="shared" si="7"/>
        <v>-9.6154030436916518</v>
      </c>
    </row>
    <row r="205" spans="1:7" x14ac:dyDescent="0.25">
      <c r="A205">
        <f t="shared" si="6"/>
        <v>2050</v>
      </c>
      <c r="B205">
        <f>r_OM*SIN(r_IM*(A205+r_S))</f>
        <v>-1.8421749809519994E-2</v>
      </c>
      <c r="C205">
        <f>p_OM*SIN(P_IM*(A205+p_S))</f>
        <v>-7.884274702016832E-3</v>
      </c>
      <c r="D205">
        <f>B205*EXP(C205*p_off)</f>
        <v>-6.9379934076619789E-6</v>
      </c>
      <c r="F205">
        <f>C205^2+D205^2</f>
        <v>6.2161835712615121E-5</v>
      </c>
      <c r="G205">
        <f t="shared" si="7"/>
        <v>-9.6857693202847166</v>
      </c>
    </row>
    <row r="206" spans="1:7" x14ac:dyDescent="0.25">
      <c r="A206">
        <f t="shared" si="6"/>
        <v>2060</v>
      </c>
      <c r="B206">
        <f>r_OM*SIN(r_IM*(A206+r_S))</f>
        <v>-1.8522523782909125E-2</v>
      </c>
      <c r="C206">
        <f>p_OM*SIN(P_IM*(A206+p_S))</f>
        <v>-7.600092125927293E-3</v>
      </c>
      <c r="D206">
        <f>B206*EXP(C206*p_off)</f>
        <v>-9.2687696447621929E-6</v>
      </c>
      <c r="F206">
        <f>C206^2+D206^2</f>
        <v>5.7761486232672769E-5</v>
      </c>
      <c r="G206">
        <f t="shared" si="7"/>
        <v>-9.7591883325356612</v>
      </c>
    </row>
    <row r="207" spans="1:7" x14ac:dyDescent="0.25">
      <c r="A207">
        <f t="shared" si="6"/>
        <v>2070</v>
      </c>
      <c r="B207">
        <f>r_OM*SIN(r_IM*(A207+r_S))</f>
        <v>-1.8618801470718493E-2</v>
      </c>
      <c r="C207">
        <f>p_OM*SIN(P_IM*(A207+p_S))</f>
        <v>-7.3141262120686419E-3</v>
      </c>
      <c r="D207">
        <f>B207*EXP(C207*p_off)</f>
        <v>-1.2401295821008572E-5</v>
      </c>
      <c r="F207">
        <f>C207^2+D207^2</f>
        <v>5.3496596038207625E-5</v>
      </c>
      <c r="G207">
        <f t="shared" si="7"/>
        <v>-9.8358925315405621</v>
      </c>
    </row>
    <row r="208" spans="1:7" x14ac:dyDescent="0.25">
      <c r="A208">
        <f t="shared" si="6"/>
        <v>2080</v>
      </c>
      <c r="B208">
        <f>r_OM*SIN(r_IM*(A208+r_S))</f>
        <v>-1.8710559501836019E-2</v>
      </c>
      <c r="C208">
        <f>p_OM*SIN(P_IM*(A208+p_S))</f>
        <v>-7.0264440614452696E-3</v>
      </c>
      <c r="D208">
        <f>B208*EXP(C208*p_off)</f>
        <v>-1.6616551239872923E-5</v>
      </c>
      <c r="F208">
        <f>C208^2+D208^2</f>
        <v>4.9371192258394601E-5</v>
      </c>
      <c r="G208">
        <f t="shared" si="7"/>
        <v>-9.9161434565341224</v>
      </c>
    </row>
    <row r="209" spans="1:7" x14ac:dyDescent="0.25">
      <c r="A209">
        <f t="shared" si="6"/>
        <v>2090</v>
      </c>
      <c r="B209">
        <f>r_OM*SIN(r_IM*(A209+r_S))</f>
        <v>-1.8797775602282355E-2</v>
      </c>
      <c r="C209">
        <f>p_OM*SIN(P_IM*(A209+p_S))</f>
        <v>-6.7371131777710699E-3</v>
      </c>
      <c r="D209">
        <f>B209*EXP(C209*p_off)</f>
        <v>-2.2295405927417021E-5</v>
      </c>
      <c r="F209">
        <f>C209^2+D209^2</f>
        <v>4.5389191055222074E-5</v>
      </c>
      <c r="G209">
        <f t="shared" si="7"/>
        <v>-10.000236563747201</v>
      </c>
    </row>
    <row r="210" spans="1:7" x14ac:dyDescent="0.25">
      <c r="A210">
        <f t="shared" si="6"/>
        <v>2100</v>
      </c>
      <c r="B210">
        <f>r_OM*SIN(r_IM*(A210+r_S))</f>
        <v>-1.8880428600617831E-2</v>
      </c>
      <c r="C210">
        <f>p_OM*SIN(P_IM*(A210+p_S))</f>
        <v>-6.4462014516300419E-3</v>
      </c>
      <c r="D210">
        <f>B210*EXP(C210*p_off)</f>
        <v>-2.9954503756993441E-5</v>
      </c>
      <c r="F210">
        <f>C210^2+D210^2</f>
        <v>4.1554410427292591E-5</v>
      </c>
      <c r="G210">
        <f t="shared" si="7"/>
        <v>-10.088506894828129</v>
      </c>
    </row>
    <row r="211" spans="1:7" x14ac:dyDescent="0.25">
      <c r="A211">
        <f t="shared" si="6"/>
        <v>2110</v>
      </c>
      <c r="B211">
        <f>r_OM*SIN(r_IM*(A211+r_S))</f>
        <v>-1.8958498433081762E-2</v>
      </c>
      <c r="C211">
        <f>p_OM*SIN(P_IM*(A211+p_S))</f>
        <v>-6.1537771445458441E-3</v>
      </c>
      <c r="D211">
        <f>B211*EXP(C211*p_off)</f>
        <v>-4.0295122488244671E-5</v>
      </c>
      <c r="F211">
        <f>C211^2+D211^2</f>
        <v>3.7870596841631146E-5</v>
      </c>
      <c r="G211">
        <f t="shared" si="7"/>
        <v>-10.181335555899317</v>
      </c>
    </row>
    <row r="212" spans="1:7" x14ac:dyDescent="0.25">
      <c r="A212">
        <f t="shared" si="6"/>
        <v>2120</v>
      </c>
      <c r="B212">
        <f>r_OM*SIN(r_IM*(A212+r_S))</f>
        <v>-1.9031966148462857E-2</v>
      </c>
      <c r="C212">
        <f>p_OM*SIN(P_IM*(A212+p_S))</f>
        <v>-5.8599088729645718E-3</v>
      </c>
      <c r="D212">
        <f>B212*EXP(C212*p_off)</f>
        <v>-5.4269718463009679E-5</v>
      </c>
      <c r="F212">
        <f>C212^2+D212^2</f>
        <v>3.434147720179097E-5</v>
      </c>
      <c r="G212">
        <f t="shared" si="7"/>
        <v>-10.279156686478068</v>
      </c>
    </row>
    <row r="213" spans="1:7" x14ac:dyDescent="0.25">
      <c r="A213">
        <f t="shared" si="6"/>
        <v>2130</v>
      </c>
      <c r="B213">
        <f>r_OM*SIN(r_IM*(A213+r_S))</f>
        <v>-1.9100813912699556E-2</v>
      </c>
      <c r="C213">
        <f>p_OM*SIN(P_IM*(A213+p_S))</f>
        <v>-5.5646655921540071E-3</v>
      </c>
      <c r="D213">
        <f>B213*EXP(C213*p_off)</f>
        <v>-7.3172570749247069E-5</v>
      </c>
      <c r="F213">
        <f>C213^2+D213^2</f>
        <v>3.0970857377612764E-5</v>
      </c>
      <c r="G213">
        <f t="shared" si="7"/>
        <v>-10.382463880228917</v>
      </c>
    </row>
    <row r="214" spans="1:7" x14ac:dyDescent="0.25">
      <c r="A214">
        <f t="shared" si="6"/>
        <v>2140</v>
      </c>
      <c r="B214">
        <f>r_OM*SIN(r_IM*(A214+r_S))</f>
        <v>-1.9165025013209217E-2</v>
      </c>
      <c r="C214">
        <f>p_OM*SIN(P_IM*(A214+p_S))</f>
        <v>-5.2681165800235342E-3</v>
      </c>
      <c r="D214">
        <f>B214*EXP(C214*p_off)</f>
        <v>-9.8763262932584237E-5</v>
      </c>
      <c r="F214">
        <f>C214^2+D214^2</f>
        <v>2.7762806482823946E-5</v>
      </c>
      <c r="G214">
        <f t="shared" si="7"/>
        <v>-10.491813329351301</v>
      </c>
    </row>
    <row r="215" spans="1:7" x14ac:dyDescent="0.25">
      <c r="A215">
        <f t="shared" si="6"/>
        <v>2150</v>
      </c>
      <c r="B215">
        <f>r_OM*SIN(r_IM*(A215+r_S))</f>
        <v>-1.9224583862945028E-2</v>
      </c>
      <c r="C215">
        <f>p_OM*SIN(P_IM*(A215+p_S))</f>
        <v>-4.970331420868346E-3</v>
      </c>
      <c r="D215">
        <f>B215*EXP(C215*p_off)</f>
        <v>-1.3343490122694573E-4</v>
      </c>
      <c r="F215">
        <f>C215^2+D215^2</f>
        <v>2.4721999306136598E-5</v>
      </c>
      <c r="G215">
        <f t="shared" si="7"/>
        <v>-10.607817050565281</v>
      </c>
    </row>
    <row r="216" spans="1:7" x14ac:dyDescent="0.25">
      <c r="A216">
        <f t="shared" si="6"/>
        <v>2160</v>
      </c>
      <c r="B216">
        <f>r_OM*SIN(r_IM*(A216+r_S))</f>
        <v>-1.9279476004179716E-2</v>
      </c>
      <c r="C216">
        <f>p_OM*SIN(P_IM*(A216+p_S))</f>
        <v>-4.6713799890415872E-3</v>
      </c>
      <c r="D216">
        <f>B216*EXP(C216*p_off)</f>
        <v>-1.8044326382949633E-4</v>
      </c>
      <c r="F216">
        <f>C216^2+D216^2</f>
        <v>2.185435077347962E-5</v>
      </c>
      <c r="G216">
        <f t="shared" si="7"/>
        <v>-10.731110536176727</v>
      </c>
    </row>
    <row r="217" spans="1:7" x14ac:dyDescent="0.25">
      <c r="A217">
        <f t="shared" si="6"/>
        <v>2170</v>
      </c>
      <c r="B217">
        <f>r_OM*SIN(r_IM*(A217+r_S))</f>
        <v>-1.9329688112015124E-2</v>
      </c>
      <c r="C217">
        <f>p_OM*SIN(P_IM*(A217+p_S))</f>
        <v>-4.3713324325586932E-3</v>
      </c>
      <c r="D217">
        <f>B217*EXP(C217*p_off)</f>
        <v>-2.4421891229284797E-4</v>
      </c>
      <c r="F217">
        <f>C217^2+D217^2</f>
        <v>1.9168190113061006E-5</v>
      </c>
      <c r="G217">
        <f t="shared" si="7"/>
        <v>-10.862258417828073</v>
      </c>
    </row>
    <row r="218" spans="1:7" x14ac:dyDescent="0.25">
      <c r="A218">
        <f t="shared" si="6"/>
        <v>2180</v>
      </c>
      <c r="B218">
        <f>r_OM*SIN(r_IM*(A218+r_S))</f>
        <v>-1.9375207997616776E-2</v>
      </c>
      <c r="C218">
        <f>p_OM*SIN(P_IM*(A218+p_S))</f>
        <v>-4.0702591566372419E-3</v>
      </c>
      <c r="D218">
        <f>B218*EXP(C218*p_off)</f>
        <v>-3.3079221628091115E-4</v>
      </c>
      <c r="F218">
        <f>C218^2+D218^2</f>
        <v>1.667643309254135E-5</v>
      </c>
      <c r="G218">
        <f t="shared" si="7"/>
        <v>-11.001514027274249</v>
      </c>
    </row>
    <row r="219" spans="1:7" x14ac:dyDescent="0.25">
      <c r="A219">
        <f t="shared" si="6"/>
        <v>2190</v>
      </c>
      <c r="B219">
        <f>r_OM*SIN(r_IM*(A219+r_S))</f>
        <v>-1.9416024611172696E-2</v>
      </c>
      <c r="C219">
        <f>p_OM*SIN(P_IM*(A219+p_S))</f>
        <v>-3.7682308071767291E-3</v>
      </c>
      <c r="D219">
        <f>B219*EXP(C219*p_off)</f>
        <v>-4.4837198331991679E-4</v>
      </c>
      <c r="F219">
        <f>C219^2+D219^2</f>
        <v>1.440060085158202E-5</v>
      </c>
      <c r="G219">
        <f t="shared" si="7"/>
        <v>-11.148240626448509</v>
      </c>
    </row>
    <row r="220" spans="1:7" x14ac:dyDescent="0.25">
      <c r="A220">
        <f t="shared" si="6"/>
        <v>2200</v>
      </c>
      <c r="B220">
        <f>r_OM*SIN(r_IM*(A220+r_S))</f>
        <v>-1.94521280445757E-2</v>
      </c>
      <c r="C220">
        <f>p_OM*SIN(P_IM*(A220+p_S))</f>
        <v>-3.4653182541816061E-3</v>
      </c>
      <c r="D220">
        <f>B220*EXP(C220*p_off)</f>
        <v>-6.0813293424156751E-4</v>
      </c>
      <c r="F220">
        <f>C220^2+D220^2</f>
        <v>1.2378256268473514E-5</v>
      </c>
      <c r="G220">
        <f t="shared" si="7"/>
        <v>-11.299569151316945</v>
      </c>
    </row>
    <row r="221" spans="1:7" x14ac:dyDescent="0.25">
      <c r="A221">
        <f t="shared" si="6"/>
        <v>2210</v>
      </c>
      <c r="B221">
        <f>r_OM*SIN(r_IM*(A221+r_S))</f>
        <v>-1.9483509533828557E-2</v>
      </c>
      <c r="C221">
        <f>p_OM*SIN(P_IM*(A221+p_S))</f>
        <v>-3.1615925751319086E-3</v>
      </c>
      <c r="D221">
        <f>B221*EXP(C221*p_off)</f>
        <v>-8.2528695220349514E-4</v>
      </c>
      <c r="F221">
        <f>C221^2+D221^2</f>
        <v>1.0676766164606546E-5</v>
      </c>
      <c r="G221">
        <f t="shared" si="7"/>
        <v>-11.447440563859622</v>
      </c>
    </row>
    <row r="222" spans="1:7" x14ac:dyDescent="0.25">
      <c r="A222">
        <f t="shared" si="6"/>
        <v>2220</v>
      </c>
      <c r="B222">
        <f>r_OM*SIN(r_IM*(A222+r_S))</f>
        <v>-1.9510161461171446E-2</v>
      </c>
      <c r="C222">
        <f>p_OM*SIN(P_IM*(A222+p_S))</f>
        <v>-2.8571250383052039E-3</v>
      </c>
      <c r="D222">
        <f>B222*EXP(C222*p_off)</f>
        <v>-1.1205396415852674E-3</v>
      </c>
      <c r="F222">
        <f>C222^2+D222^2</f>
        <v>9.4187725728745526E-6</v>
      </c>
      <c r="G222">
        <f t="shared" si="7"/>
        <v>-11.572805777985275</v>
      </c>
    </row>
    <row r="223" spans="1:7" x14ac:dyDescent="0.25">
      <c r="A223">
        <f t="shared" si="6"/>
        <v>2230</v>
      </c>
      <c r="B223">
        <f>r_OM*SIN(r_IM*(A223+r_S))</f>
        <v>-1.9532077356931125E-2</v>
      </c>
      <c r="C223">
        <f>p_OM*SIN(P_IM*(A223+p_S))</f>
        <v>-2.5519870860535874E-3</v>
      </c>
      <c r="D223">
        <f>B223*EXP(C223*p_off)</f>
        <v>-1.5220696501724131E-3</v>
      </c>
      <c r="F223">
        <f>C223^2+D223^2</f>
        <v>8.8293341073602521E-6</v>
      </c>
      <c r="G223">
        <f t="shared" si="7"/>
        <v>-11.637430958722057</v>
      </c>
    </row>
    <row r="224" spans="1:7" x14ac:dyDescent="0.25">
      <c r="A224">
        <f t="shared" si="6"/>
        <v>2240</v>
      </c>
      <c r="B224">
        <f>r_OM*SIN(r_IM*(A224+r_S))</f>
        <v>-1.954925190109141E-2</v>
      </c>
      <c r="C224">
        <f>p_OM*SIN(P_IM*(A224+p_S))</f>
        <v>-2.2462503180401007E-3</v>
      </c>
      <c r="D224">
        <f>B224*EXP(C224*p_off)</f>
        <v>-2.0682166241788877E-3</v>
      </c>
      <c r="F224">
        <f>C224^2+D224^2</f>
        <v>9.3231604958251688E-6</v>
      </c>
      <c r="G224">
        <f t="shared" si="7"/>
        <v>-11.583008877757116</v>
      </c>
    </row>
    <row r="225" spans="1:7" x14ac:dyDescent="0.25">
      <c r="A225">
        <f t="shared" si="6"/>
        <v>2250</v>
      </c>
      <c r="B225">
        <f>r_OM*SIN(r_IM*(A225+r_S))</f>
        <v>-1.9561680924584629E-2</v>
      </c>
      <c r="C225">
        <f>p_OM*SIN(P_IM*(A225+p_S))</f>
        <v>-1.9399864744379541E-3</v>
      </c>
      <c r="D225">
        <f>B225*EXP(C225*p_off)</f>
        <v>-2.811128834994302E-3</v>
      </c>
      <c r="F225">
        <f>C225^2+D225^2</f>
        <v>1.1665992847938625E-5</v>
      </c>
      <c r="G225">
        <f t="shared" si="7"/>
        <v>-11.358832542701881</v>
      </c>
    </row>
    <row r="226" spans="1:7" x14ac:dyDescent="0.25">
      <c r="A226">
        <f t="shared" si="6"/>
        <v>2260</v>
      </c>
      <c r="B226">
        <f>r_OM*SIN(r_IM*(A226+r_S))</f>
        <v>-1.9569361410303621E-2</v>
      </c>
      <c r="C226">
        <f>p_OM*SIN(P_IM*(A226+p_S))</f>
        <v>-1.6332674190970629E-3</v>
      </c>
      <c r="D226">
        <f>B226*EXP(C226*p_off)</f>
        <v>-3.8217090991894483E-3</v>
      </c>
      <c r="F226">
        <f>C226^2+D226^2</f>
        <v>1.7273022901111406E-5</v>
      </c>
      <c r="G226">
        <f t="shared" si="7"/>
        <v>-10.966364643421121</v>
      </c>
    </row>
    <row r="227" spans="1:7" x14ac:dyDescent="0.25">
      <c r="A227">
        <f t="shared" si="6"/>
        <v>2270</v>
      </c>
      <c r="B227">
        <f>r_OM*SIN(r_IM*(A227+r_S))</f>
        <v>-1.9572291493834142E-2</v>
      </c>
      <c r="C227">
        <f>p_OM*SIN(P_IM*(A227+p_S))</f>
        <v>-1.3261651226812938E-3</v>
      </c>
      <c r="D227">
        <f>B227*EXP(C227*p_off)</f>
        <v>-5.1963151222067915E-3</v>
      </c>
      <c r="F227">
        <f>C227^2+D227^2</f>
        <v>2.8760404781891273E-5</v>
      </c>
      <c r="G227">
        <f t="shared" si="7"/>
        <v>-10.456510950735812</v>
      </c>
    </row>
    <row r="228" spans="1:7" x14ac:dyDescent="0.25">
      <c r="A228">
        <f t="shared" si="6"/>
        <v>2280</v>
      </c>
      <c r="B228">
        <f>r_OM*SIN(r_IM*(A228+r_S))</f>
        <v>-1.9570470463907443E-2</v>
      </c>
      <c r="C228">
        <f>p_OM*SIN(P_IM*(A228+p_S))</f>
        <v>-1.0187516457808299E-3</v>
      </c>
      <c r="D228">
        <f>B228*EXP(C228*p_off)</f>
        <v>-7.0658277786498766E-3</v>
      </c>
      <c r="F228">
        <f>C228^2+D228^2</f>
        <v>5.0963777113321399E-5</v>
      </c>
      <c r="G228">
        <f t="shared" si="7"/>
        <v>-9.8843954302688495</v>
      </c>
    </row>
    <row r="229" spans="1:7" x14ac:dyDescent="0.25">
      <c r="A229">
        <f t="shared" si="6"/>
        <v>2290</v>
      </c>
      <c r="B229">
        <f>r_OM*SIN(r_IM*(A229+r_S))</f>
        <v>-1.9563898762572928E-2</v>
      </c>
      <c r="C229">
        <f>p_OM*SIN(P_IM*(A229+p_S))</f>
        <v>-7.1109912200343207E-4</v>
      </c>
      <c r="D229">
        <f>B229*EXP(C229*p_off)</f>
        <v>-9.6079112340508119E-3</v>
      </c>
      <c r="F229">
        <f>C229^2+D229^2</f>
        <v>9.281762024271384E-5</v>
      </c>
      <c r="G229">
        <f t="shared" si="7"/>
        <v>-9.2848740628906672</v>
      </c>
    </row>
    <row r="230" spans="1:7" x14ac:dyDescent="0.25">
      <c r="A230">
        <f t="shared" si="6"/>
        <v>2300</v>
      </c>
      <c r="B230">
        <f>r_OM*SIN(r_IM*(A230+r_S))</f>
        <v>-1.9552577985090847E-2</v>
      </c>
      <c r="C230">
        <f>p_OM*SIN(P_IM*(A230+p_S))</f>
        <v>-4.0327974104838903E-4</v>
      </c>
      <c r="D230">
        <f>B230*EXP(C230*p_off)</f>
        <v>-1.3063569512579705E-2</v>
      </c>
      <c r="F230">
        <f>C230^2+D230^2</f>
        <v>1.7081948295954202E-4</v>
      </c>
      <c r="G230">
        <f t="shared" si="7"/>
        <v>-8.6749032142653828</v>
      </c>
    </row>
    <row r="231" spans="1:7" x14ac:dyDescent="0.25">
      <c r="A231">
        <f t="shared" si="6"/>
        <v>2310</v>
      </c>
      <c r="B231">
        <f>r_OM*SIN(r_IM*(A231+r_S))</f>
        <v>-1.9536510879545055E-2</v>
      </c>
      <c r="C231">
        <f>p_OM*SIN(P_IM*(A231+p_S))</f>
        <v>-9.536573176757429E-5</v>
      </c>
      <c r="D231">
        <f>B231*EXP(C231*p_off)</f>
        <v>-1.7759477834686482E-2</v>
      </c>
      <c r="F231">
        <f>C231^2+D231^2</f>
        <v>3.1540814758351603E-4</v>
      </c>
      <c r="G231">
        <f t="shared" si="7"/>
        <v>-8.0616430512277226</v>
      </c>
    </row>
    <row r="232" spans="1:7" x14ac:dyDescent="0.25">
      <c r="A232">
        <f t="shared" si="6"/>
        <v>2320</v>
      </c>
      <c r="B232">
        <f>r_OM*SIN(r_IM*(A232+r_S))</f>
        <v>-1.9515701346175921E-2</v>
      </c>
      <c r="C232">
        <f>p_OM*SIN(P_IM*(A232+p_S))</f>
        <v>2.1257065478297039E-4</v>
      </c>
      <c r="D232">
        <f>B232*EXP(C232*p_off)</f>
        <v>-2.413806351680152E-2</v>
      </c>
      <c r="F232">
        <f>C232^2+D232^2</f>
        <v>5.8269129662441945E-4</v>
      </c>
      <c r="G232">
        <f t="shared" si="7"/>
        <v>-7.4478530202157591</v>
      </c>
    </row>
    <row r="233" spans="1:7" x14ac:dyDescent="0.25">
      <c r="A233">
        <f t="shared" si="6"/>
        <v>2330</v>
      </c>
      <c r="B233">
        <f>r_OM*SIN(r_IM*(A233+r_S))</f>
        <v>-1.9490154436433552E-2</v>
      </c>
      <c r="C233">
        <f>p_OM*SIN(P_IM*(A233+p_S))</f>
        <v>5.2045716229637566E-4</v>
      </c>
      <c r="D233">
        <f>B233*EXP(C233*p_off)</f>
        <v>-3.2797969227088608E-2</v>
      </c>
      <c r="F233">
        <f>C233^2+D233^2</f>
        <v>1.075977661078837E-3</v>
      </c>
      <c r="G233">
        <f t="shared" si="7"/>
        <v>-6.8345255785372068</v>
      </c>
    </row>
    <row r="234" spans="1:7" x14ac:dyDescent="0.25">
      <c r="A234">
        <f t="shared" si="6"/>
        <v>2340</v>
      </c>
      <c r="B234">
        <f>r_OM*SIN(r_IM*(A234+r_S))</f>
        <v>-1.945987635175158E-2</v>
      </c>
      <c r="C234">
        <f>p_OM*SIN(P_IM*(A234+p_S))</f>
        <v>8.2822154616978548E-4</v>
      </c>
      <c r="D234">
        <f>B234*EXP(C234*p_off)</f>
        <v>-4.4548401352871185E-2</v>
      </c>
      <c r="F234">
        <f>C234^2+D234^2</f>
        <v>1.9852460140260351E-3</v>
      </c>
      <c r="G234">
        <f t="shared" si="7"/>
        <v>-6.2220124359854356</v>
      </c>
    </row>
    <row r="235" spans="1:7" x14ac:dyDescent="0.25">
      <c r="A235">
        <f t="shared" si="6"/>
        <v>2350</v>
      </c>
      <c r="B235">
        <f>r_OM*SIN(r_IM*(A235+r_S))</f>
        <v>-1.9424874442041776E-2</v>
      </c>
      <c r="C235">
        <f>p_OM*SIN(P_IM*(A235+p_S))</f>
        <v>1.1357915904562726E-3</v>
      </c>
      <c r="D235">
        <f>B235*EXP(C235*p_off)</f>
        <v>-6.0482013478497118E-2</v>
      </c>
      <c r="F235">
        <f>C235^2+D235^2</f>
        <v>3.6593639769500583E-3</v>
      </c>
      <c r="G235">
        <f t="shared" si="7"/>
        <v>-5.6104659234593992</v>
      </c>
    </row>
    <row r="236" spans="1:7" x14ac:dyDescent="0.25">
      <c r="A236">
        <f t="shared" si="6"/>
        <v>2360</v>
      </c>
      <c r="B236">
        <f>r_OM*SIN(r_IM*(A236+r_S))</f>
        <v>-1.9385157203909875E-2</v>
      </c>
      <c r="C236">
        <f>p_OM*SIN(P_IM*(A236+p_S))</f>
        <v>1.4430951248100301E-3</v>
      </c>
      <c r="D236">
        <f>B236*EXP(C236*p_off)</f>
        <v>-8.2072483789539977E-2</v>
      </c>
      <c r="F236">
        <f>C236^2+D236^2</f>
        <v>6.7379751189235526E-3</v>
      </c>
      <c r="G236">
        <f t="shared" si="7"/>
        <v>-4.9999958266547049</v>
      </c>
    </row>
    <row r="237" spans="1:7" x14ac:dyDescent="0.25">
      <c r="A237">
        <f t="shared" si="6"/>
        <v>2370</v>
      </c>
      <c r="B237">
        <f>r_OM*SIN(r_IM*(A237+r_S))</f>
        <v>-1.9340734278593064E-2</v>
      </c>
      <c r="C237">
        <f>p_OM*SIN(P_IM*(A237+p_S))</f>
        <v>1.7500600414210423E-3</v>
      </c>
      <c r="D237">
        <f>B237*EXP(C237*p_off)</f>
        <v>-0.11130492394068824</v>
      </c>
      <c r="F237">
        <f>C237^2+D237^2</f>
        <v>1.2391848803590972E-2</v>
      </c>
      <c r="G237">
        <f t="shared" si="7"/>
        <v>-4.3907163770724935</v>
      </c>
    </row>
    <row r="238" spans="1:7" x14ac:dyDescent="0.25">
      <c r="A238">
        <f t="shared" si="6"/>
        <v>2380</v>
      </c>
      <c r="B238">
        <f>r_OM*SIN(r_IM*(A238+r_S))</f>
        <v>-1.92916164496196E-2</v>
      </c>
      <c r="C238">
        <f>p_OM*SIN(P_IM*(A238+p_S))</f>
        <v>2.0566143119348135E-3</v>
      </c>
      <c r="D238">
        <f>B238*EXP(C238*p_off)</f>
        <v>-0.15084984417522362</v>
      </c>
      <c r="F238">
        <f>C238^2+D238^2</f>
        <v>2.2759905150117304E-2</v>
      </c>
      <c r="G238">
        <f t="shared" si="7"/>
        <v>-3.7827548371264821</v>
      </c>
    </row>
    <row r="239" spans="1:7" x14ac:dyDescent="0.25">
      <c r="A239">
        <f t="shared" si="6"/>
        <v>2390</v>
      </c>
      <c r="B239">
        <f>r_OM*SIN(r_IM*(A239+r_S))</f>
        <v>-1.9237815640191124E-2</v>
      </c>
      <c r="C239">
        <f>p_OM*SIN(P_IM*(A239+p_S))</f>
        <v>2.3626860043537362E-3</v>
      </c>
      <c r="D239">
        <f>B239*EXP(C239*p_off)</f>
        <v>-0.20429477184763098</v>
      </c>
      <c r="F239">
        <f>C239^2+D239^2</f>
        <v>4.1741936089430762E-2</v>
      </c>
      <c r="G239">
        <f t="shared" si="7"/>
        <v>-3.1762489938992089</v>
      </c>
    </row>
    <row r="240" spans="1:7" x14ac:dyDescent="0.25">
      <c r="A240">
        <f t="shared" si="6"/>
        <v>2400</v>
      </c>
      <c r="B240">
        <f>r_OM*SIN(r_IM*(A240+r_S))</f>
        <v>-1.9179344910288373E-2</v>
      </c>
      <c r="C240">
        <f>p_OM*SIN(P_IM*(A240+p_S))</f>
        <v>2.6682032999155681E-3</v>
      </c>
      <c r="D240">
        <f>B240*EXP(C240*p_off)</f>
        <v>-0.27645200182865637</v>
      </c>
      <c r="F240">
        <f>C240^2+D240^2</f>
        <v>7.6432828623921104E-2</v>
      </c>
      <c r="G240">
        <f t="shared" si="7"/>
        <v>-2.5713429810713238</v>
      </c>
    </row>
    <row r="241" spans="1:7" x14ac:dyDescent="0.25">
      <c r="A241">
        <f t="shared" si="6"/>
        <v>2410</v>
      </c>
      <c r="B241">
        <f>r_OM*SIN(r_IM*(A241+r_S))</f>
        <v>-1.9116218453500877E-2</v>
      </c>
      <c r="C241">
        <f>p_OM*SIN(P_IM*(A241+p_S))</f>
        <v>2.9730945099456039E-3</v>
      </c>
      <c r="D241">
        <f>B241*EXP(C241*p_off)</f>
        <v>-0.37376662988075826</v>
      </c>
      <c r="F241">
        <f>C241^2+D241^2</f>
        <v>0.1397103329033848</v>
      </c>
      <c r="G241">
        <f t="shared" si="7"/>
        <v>-1.9681840505054249</v>
      </c>
    </row>
    <row r="242" spans="1:7" x14ac:dyDescent="0.25">
      <c r="A242">
        <f t="shared" si="6"/>
        <v>2420</v>
      </c>
      <c r="B242">
        <f>r_OM*SIN(r_IM*(A242+r_S))</f>
        <v>-1.9048451593581522E-2</v>
      </c>
      <c r="C242">
        <f>p_OM*SIN(P_IM*(A242+p_S))</f>
        <v>3.2772880926781409E-3</v>
      </c>
      <c r="D242">
        <f>B242*EXP(C242*p_off)</f>
        <v>-0.50485633808834018</v>
      </c>
      <c r="F242">
        <f>C242^2+D242^2</f>
        <v>0.25489066272521088</v>
      </c>
      <c r="G242">
        <f t="shared" si="7"/>
        <v>-1.3669205994000311</v>
      </c>
    </row>
    <row r="243" spans="1:7" x14ac:dyDescent="0.25">
      <c r="A243">
        <f t="shared" si="6"/>
        <v>2430</v>
      </c>
      <c r="B243">
        <f>r_OM*SIN(r_IM*(A243+r_S))</f>
        <v>-1.897606078072676E-2</v>
      </c>
      <c r="C243">
        <f>p_OM*SIN(P_IM*(A243+p_S))</f>
        <v>3.5807126700434836E-3</v>
      </c>
      <c r="D243">
        <f>B243*EXP(C243*p_off)</f>
        <v>-0.68122380637824409</v>
      </c>
      <c r="F243">
        <f>C243^2+D243^2</f>
        <v>0.46407869587968881</v>
      </c>
      <c r="G243">
        <f t="shared" si="7"/>
        <v>-0.76770113794789208</v>
      </c>
    </row>
    <row r="244" spans="1:7" x14ac:dyDescent="0.25">
      <c r="A244">
        <f t="shared" si="6"/>
        <v>2440</v>
      </c>
      <c r="B244">
        <f>r_OM*SIN(r_IM*(A244+r_S))</f>
        <v>-1.8899063587583378E-2</v>
      </c>
      <c r="C244">
        <f>p_OM*SIN(P_IM*(A244+p_S))</f>
        <v>3.8832970444167003E-3</v>
      </c>
      <c r="D244">
        <f>B244*EXP(C244*p_off)</f>
        <v>-0.91819466326195409</v>
      </c>
      <c r="F244">
        <f>C244^2+D244^2</f>
        <v>0.8430965196386685</v>
      </c>
      <c r="G244">
        <f t="shared" si="7"/>
        <v>-0.1706738321148463</v>
      </c>
    </row>
    <row r="245" spans="1:7" x14ac:dyDescent="0.25">
      <c r="A245">
        <f t="shared" si="6"/>
        <v>2450</v>
      </c>
      <c r="B245">
        <f>r_OM*SIN(r_IM*(A245+r_S))</f>
        <v>-1.8817478704982786E-2</v>
      </c>
      <c r="C245">
        <f>p_OM*SIN(P_IM*(A245+p_S))</f>
        <v>4.1849702153237862E-3</v>
      </c>
      <c r="D245">
        <f>B245*EXP(C245*p_off)</f>
        <v>-1.2361492357034252</v>
      </c>
      <c r="F245">
        <f>C245^2+D245^2</f>
        <v>1.5280824469058651</v>
      </c>
      <c r="G245">
        <f t="shared" si="7"/>
        <v>0.42401364668780706</v>
      </c>
    </row>
    <row r="246" spans="1:7" x14ac:dyDescent="0.25">
      <c r="A246">
        <f t="shared" si="6"/>
        <v>2460</v>
      </c>
      <c r="B246">
        <f>r_OM*SIN(r_IM*(A246+r_S))</f>
        <v>-1.8731325937403859E-2</v>
      </c>
      <c r="C246">
        <f>p_OM*SIN(P_IM*(A246+p_S))</f>
        <v>4.485661396101839E-3</v>
      </c>
      <c r="D246">
        <f>B246*EXP(C246*p_off)</f>
        <v>-1.6621358355088216</v>
      </c>
      <c r="F246">
        <f>C246^2+D246^2</f>
        <v>2.7627156568407689</v>
      </c>
      <c r="G246">
        <f t="shared" si="7"/>
        <v>1.0162141296216061</v>
      </c>
    </row>
    <row r="247" spans="1:7" x14ac:dyDescent="0.25">
      <c r="A247">
        <f t="shared" si="6"/>
        <v>2470</v>
      </c>
      <c r="B247">
        <f>r_OM*SIN(r_IM*(A247+r_S))</f>
        <v>-1.8640626198165488E-2</v>
      </c>
      <c r="C247">
        <f>p_OM*SIN(P_IM*(A247+p_S))</f>
        <v>4.7853000305087918E-3</v>
      </c>
      <c r="D247">
        <f>B247*EXP(C247*p_off)</f>
        <v>-2.2319779256803622</v>
      </c>
      <c r="F247">
        <f>C247^2+D247^2</f>
        <v>4.9817483598207941</v>
      </c>
      <c r="G247">
        <f t="shared" si="7"/>
        <v>1.605780905692944</v>
      </c>
    </row>
    <row r="248" spans="1:7" x14ac:dyDescent="0.25">
      <c r="A248">
        <f t="shared" si="6"/>
        <v>2480</v>
      </c>
      <c r="B248">
        <f>r_OM*SIN(r_IM*(A248+r_S))</f>
        <v>-1.8545401504349929E-2</v>
      </c>
      <c r="C248">
        <f>p_OM*SIN(P_IM*(A248+p_S))</f>
        <v>5.0838158092793304E-3</v>
      </c>
      <c r="D248">
        <f>B248*EXP(C248*p_off)</f>
        <v>-2.9930184441464416</v>
      </c>
      <c r="F248">
        <f>C248^2+D248^2</f>
        <v>8.9581852521839682</v>
      </c>
      <c r="G248">
        <f t="shared" si="7"/>
        <v>2.1925676676543291</v>
      </c>
    </row>
    <row r="249" spans="1:7" x14ac:dyDescent="0.25">
      <c r="A249">
        <f t="shared" si="6"/>
        <v>2490</v>
      </c>
      <c r="B249">
        <f>r_OM*SIN(r_IM*(A249+r_S))</f>
        <v>-1.8445674971458215E-2</v>
      </c>
      <c r="C249">
        <f>p_OM*SIN(P_IM*(A249+p_S))</f>
        <v>5.3811386866226942E-3</v>
      </c>
      <c r="D249">
        <f>B249*EXP(C249*p_off)</f>
        <v>-4.0076832521524519</v>
      </c>
      <c r="F249">
        <f>C249^2+D249^2</f>
        <v>16.061554006236818</v>
      </c>
      <c r="G249">
        <f t="shared" si="7"/>
        <v>2.7764284663677365</v>
      </c>
    </row>
    <row r="250" spans="1:7" x14ac:dyDescent="0.25">
      <c r="A250">
        <f t="shared" si="6"/>
        <v>2500</v>
      </c>
      <c r="B250">
        <f>r_OM*SIN(r_IM*(A250+r_S))</f>
        <v>-1.8341470807798944E-2</v>
      </c>
      <c r="C250">
        <f>p_OM*SIN(P_IM*(A250+p_S))</f>
        <v>5.6771988966586445E-3</v>
      </c>
      <c r="D250">
        <f>B250*EXP(C250*p_off)</f>
        <v>-5.3580938027073044</v>
      </c>
      <c r="F250">
        <f>C250^2+D250^2</f>
        <v>28.709201429197734</v>
      </c>
      <c r="G250">
        <f t="shared" si="7"/>
        <v>3.3572176786711605</v>
      </c>
    </row>
    <row r="251" spans="1:7" x14ac:dyDescent="0.25">
      <c r="A251">
        <f t="shared" si="6"/>
        <v>2510</v>
      </c>
      <c r="B251">
        <f>r_OM*SIN(r_IM*(A251+r_S))</f>
        <v>-1.8232814308611782E-2</v>
      </c>
      <c r="C251">
        <f>p_OM*SIN(P_IM*(A251+p_S))</f>
        <v>5.9719269697879364E-3</v>
      </c>
      <c r="D251">
        <f>B251*EXP(C251*p_off)</f>
        <v>-7.1520186494536864</v>
      </c>
      <c r="F251">
        <f>C251^2+D251^2</f>
        <v>51.151406426045064</v>
      </c>
      <c r="G251">
        <f t="shared" si="7"/>
        <v>3.9347899881299875</v>
      </c>
    </row>
    <row r="252" spans="1:7" x14ac:dyDescent="0.25">
      <c r="A252">
        <f t="shared" si="6"/>
        <v>2520</v>
      </c>
      <c r="B252">
        <f>r_OM*SIN(r_IM*(A252+r_S))</f>
        <v>-1.8119731849927139E-2</v>
      </c>
      <c r="C252">
        <f>p_OM*SIN(P_IM*(A252+p_S))</f>
        <v>6.2652537489930023E-3</v>
      </c>
      <c r="D252">
        <f>B252*EXP(C252*p_off)</f>
        <v>-9.530526587845392</v>
      </c>
      <c r="F252">
        <f>C252^2+D252^2</f>
        <v>90.830976295032471</v>
      </c>
      <c r="G252">
        <f t="shared" si="7"/>
        <v>4.5090003760529926</v>
      </c>
    </row>
    <row r="253" spans="1:7" x14ac:dyDescent="0.25">
      <c r="A253">
        <f t="shared" si="6"/>
        <v>2530</v>
      </c>
      <c r="B253">
        <f>r_OM*SIN(r_IM*(A253+r_S))</f>
        <v>-1.8002250882163451E-2</v>
      </c>
      <c r="C253">
        <f>p_OM*SIN(P_IM*(A253+p_S))</f>
        <v>6.5571104060655585E-3</v>
      </c>
      <c r="D253">
        <f>B253*EXP(C253*p_off)</f>
        <v>-12.677793582398328</v>
      </c>
      <c r="F253">
        <f>C253^2+D253^2</f>
        <v>160.72649311359712</v>
      </c>
      <c r="G253">
        <f t="shared" si="7"/>
        <v>5.0797041198498798</v>
      </c>
    </row>
    <row r="254" spans="1:7" x14ac:dyDescent="0.25">
      <c r="A254">
        <f t="shared" si="6"/>
        <v>2540</v>
      </c>
      <c r="B254">
        <f>r_OM*SIN(r_IM*(A254+r_S))</f>
        <v>-1.7880399923463675E-2</v>
      </c>
      <c r="C254">
        <f>p_OM*SIN(P_IM*(A254+p_S))</f>
        <v>6.8474284577568064E-3</v>
      </c>
      <c r="D254">
        <f>B254*EXP(C254*p_off)</f>
        <v>-16.833624009479649</v>
      </c>
      <c r="F254">
        <f>C254^2+D254^2</f>
        <v>283.3709441798062</v>
      </c>
      <c r="G254">
        <f t="shared" si="7"/>
        <v>5.6467567961705472</v>
      </c>
    </row>
    <row r="255" spans="1:7" x14ac:dyDescent="0.25">
      <c r="A255">
        <f t="shared" si="6"/>
        <v>2550</v>
      </c>
      <c r="B255">
        <f>r_OM*SIN(r_IM*(A255+r_S))</f>
        <v>-1.7754208552772602E-2</v>
      </c>
      <c r="C255">
        <f>p_OM*SIN(P_IM*(A255+p_S))</f>
        <v>7.1361397818469358E-3</v>
      </c>
      <c r="D255">
        <f>B255*EXP(C255*p_off)</f>
        <v>-22.30937719832253</v>
      </c>
      <c r="F255">
        <f>C255^2+D255^2</f>
        <v>497.7083619015242</v>
      </c>
      <c r="G255">
        <f t="shared" si="7"/>
        <v>6.2100142868114254</v>
      </c>
    </row>
    <row r="256" spans="1:7" x14ac:dyDescent="0.25">
      <c r="A256">
        <f t="shared" si="6"/>
        <v>2560</v>
      </c>
      <c r="B256">
        <f>r_OM*SIN(r_IM*(A256+r_S))</f>
        <v>-1.7623707402656681E-2</v>
      </c>
      <c r="C256">
        <f>p_OM*SIN(P_IM*(A256+p_S))</f>
        <v>7.423176633129659E-3</v>
      </c>
      <c r="D256">
        <f>B256*EXP(C256*p_off)</f>
        <v>-29.508146014148902</v>
      </c>
      <c r="F256">
        <f>C256^2+D256^2</f>
        <v>870.73073629588305</v>
      </c>
      <c r="G256">
        <f t="shared" si="7"/>
        <v>6.7693327858844032</v>
      </c>
    </row>
    <row r="257" spans="1:7" x14ac:dyDescent="0.25">
      <c r="A257">
        <f t="shared" si="6"/>
        <v>2570</v>
      </c>
      <c r="B257">
        <f>r_OM*SIN(r_IM*(A257+r_S))</f>
        <v>-1.7488928151868019E-2</v>
      </c>
      <c r="C257">
        <f>p_OM*SIN(P_IM*(A257+p_S))</f>
        <v>7.7084716593085302E-3</v>
      </c>
      <c r="D257">
        <f>B257*EXP(C257*p_off)</f>
        <v>-38.950218575487689</v>
      </c>
      <c r="F257">
        <f>C257^2+D257^2</f>
        <v>1517.1195864988015</v>
      </c>
      <c r="G257">
        <f t="shared" si="7"/>
        <v>7.3245688071570312</v>
      </c>
    </row>
    <row r="258" spans="1:7" x14ac:dyDescent="0.25">
      <c r="A258">
        <f t="shared" si="6"/>
        <v>2580</v>
      </c>
      <c r="B258">
        <f>r_OM*SIN(r_IM*(A258+r_S))</f>
        <v>-1.7349903517654485E-2</v>
      </c>
      <c r="C258">
        <f>p_OM*SIN(P_IM*(A258+p_S))</f>
        <v>7.9919579168008965E-3</v>
      </c>
      <c r="D258">
        <f>B258*EXP(C258*p_off)</f>
        <v>-51.305070284814128</v>
      </c>
      <c r="F258">
        <f>C258^2+D258^2</f>
        <v>2632.210300801109</v>
      </c>
      <c r="G258">
        <f t="shared" si="7"/>
        <v>7.8755791907734292</v>
      </c>
    </row>
    <row r="259" spans="1:7" x14ac:dyDescent="0.25">
      <c r="A259">
        <f t="shared" ref="A259:A312" si="8">ROW()*10</f>
        <v>2590</v>
      </c>
      <c r="B259">
        <f>r_OM*SIN(r_IM*(A259+r_S))</f>
        <v>-1.7206667247817681E-2</v>
      </c>
      <c r="C259">
        <f>p_OM*SIN(P_IM*(A259+p_S))</f>
        <v>8.2735688864459551E-3</v>
      </c>
      <c r="D259">
        <f>B259*EXP(C259*p_off)</f>
        <v>-67.43138395523917</v>
      </c>
      <c r="F259">
        <f>C259^2+D259^2</f>
        <v>4546.991610570828</v>
      </c>
      <c r="G259">
        <f t="shared" ref="G259:G312" si="9">LN(F259)</f>
        <v>8.4222211087762062</v>
      </c>
    </row>
    <row r="260" spans="1:7" x14ac:dyDescent="0.25">
      <c r="A260">
        <f t="shared" si="8"/>
        <v>2600</v>
      </c>
      <c r="B260">
        <f>r_OM*SIN(r_IM*(A260+r_S))</f>
        <v>-1.7059254112520822E-2</v>
      </c>
      <c r="C260">
        <f>p_OM*SIN(P_IM*(A260+p_S))</f>
        <v>8.5532384891133725E-3</v>
      </c>
      <c r="D260">
        <f>B260*EXP(C260*p_off)</f>
        <v>-88.426883006040853</v>
      </c>
      <c r="F260">
        <f>C260^2+D260^2</f>
        <v>7819.3137113219254</v>
      </c>
      <c r="G260">
        <f t="shared" si="9"/>
        <v>8.9643520689876404</v>
      </c>
    </row>
    <row r="261" spans="1:7" x14ac:dyDescent="0.25">
      <c r="A261">
        <f t="shared" si="8"/>
        <v>2610</v>
      </c>
      <c r="B261">
        <f>r_OM*SIN(r_IM*(A261+r_S))</f>
        <v>-1.69076998958483E-2</v>
      </c>
      <c r="C261">
        <f>p_OM*SIN(P_IM*(A261+p_S))</f>
        <v>8.830901101208424E-3</v>
      </c>
      <c r="D261">
        <f>B261*EXP(C261*p_off)</f>
        <v>-115.69008740294967</v>
      </c>
      <c r="F261">
        <f>C261^2+D261^2</f>
        <v>13384.196401286948</v>
      </c>
      <c r="G261">
        <f t="shared" si="9"/>
        <v>9.501829916893044</v>
      </c>
    </row>
    <row r="262" spans="1:7" x14ac:dyDescent="0.25">
      <c r="A262">
        <f t="shared" si="8"/>
        <v>2620</v>
      </c>
      <c r="B262">
        <f>r_OM*SIN(r_IM*(A262+r_S))</f>
        <v>-1.6752041387119256E-2</v>
      </c>
      <c r="C262">
        <f>p_OM*SIN(P_IM*(A262+p_S))</f>
        <v>9.1064915700704904E-3</v>
      </c>
      <c r="D262">
        <f>B262*EXP(C262*p_off)</f>
        <v>-150.99646346684443</v>
      </c>
      <c r="F262">
        <f>C262^2+D262^2</f>
        <v>22799.932062422275</v>
      </c>
      <c r="G262">
        <f t="shared" si="9"/>
        <v>10.034512835219772</v>
      </c>
    </row>
    <row r="263" spans="1:7" x14ac:dyDescent="0.25">
      <c r="A263">
        <f t="shared" si="8"/>
        <v>2630</v>
      </c>
      <c r="B263">
        <f>r_OM*SIN(r_IM*(A263+r_S))</f>
        <v>-1.6592316371957121E-2</v>
      </c>
      <c r="C263">
        <f>p_OM*SIN(P_IM*(A263+p_S))</f>
        <v>9.3799452292607916E-3</v>
      </c>
      <c r="D263">
        <f>B263*EXP(C263*p_off)</f>
        <v>-196.59183372250354</v>
      </c>
      <c r="F263">
        <f>C263^2+D263^2</f>
        <v>38648.349174359857</v>
      </c>
      <c r="G263">
        <f t="shared" si="9"/>
        <v>10.562259340926401</v>
      </c>
    </row>
    <row r="264" spans="1:7" x14ac:dyDescent="0.25">
      <c r="A264">
        <f t="shared" si="8"/>
        <v>2640</v>
      </c>
      <c r="B264">
        <f>r_OM*SIN(r_IM*(A264+r_S))</f>
        <v>-1.6428563623117197E-2</v>
      </c>
      <c r="C264">
        <f>p_OM*SIN(P_IM*(A264+p_S))</f>
        <v>9.6511979137362831E-3</v>
      </c>
      <c r="D264">
        <f>B264*EXP(C264*p_off)</f>
        <v>-255.30633527149476</v>
      </c>
      <c r="F264">
        <f>C264^2+D264^2</f>
        <v>65181.324922906511</v>
      </c>
      <c r="G264">
        <f t="shared" si="9"/>
        <v>11.084928279323751</v>
      </c>
    </row>
    <row r="265" spans="1:7" x14ac:dyDescent="0.25">
      <c r="A265">
        <f t="shared" si="8"/>
        <v>2650</v>
      </c>
      <c r="B265">
        <f>r_OM*SIN(r_IM*(A265+r_S))</f>
        <v>-1.6260822891074729E-2</v>
      </c>
      <c r="C265">
        <f>p_OM*SIN(P_IM*(A265+p_S))</f>
        <v>9.9201859749057288E-3</v>
      </c>
      <c r="D265">
        <f>B265*EXP(C265*p_off)</f>
        <v>-330.69265426964631</v>
      </c>
      <c r="F265">
        <f>C265^2+D265^2</f>
        <v>109357.63168631392</v>
      </c>
      <c r="G265">
        <f t="shared" si="9"/>
        <v>11.60237881503965</v>
      </c>
    </row>
    <row r="266" spans="1:7" x14ac:dyDescent="0.25">
      <c r="A266">
        <f t="shared" si="8"/>
        <v>2660</v>
      </c>
      <c r="B266">
        <f>r_OM*SIN(r_IM*(A266+r_S))</f>
        <v>-1.6089134894375606E-2</v>
      </c>
      <c r="C266">
        <f>p_OM*SIN(P_IM*(A266+p_S))</f>
        <v>1.01868462955646E-2</v>
      </c>
      <c r="D266">
        <f>B266*EXP(C266*p_off)</f>
        <v>-427.19270426860948</v>
      </c>
      <c r="F266">
        <f>C266^2+D266^2</f>
        <v>182493.60668409948</v>
      </c>
      <c r="G266">
        <f t="shared" si="9"/>
        <v>12.114470419523105</v>
      </c>
    </row>
    <row r="267" spans="1:7" x14ac:dyDescent="0.25">
      <c r="A267">
        <f t="shared" si="8"/>
        <v>2670</v>
      </c>
      <c r="B267">
        <f>r_OM*SIN(r_IM*(A267+r_S))</f>
        <v>-1.5913541309752064E-2</v>
      </c>
      <c r="C267">
        <f>p_OM*SIN(P_IM*(A267+p_S))</f>
        <v>1.0451116304705434E-2</v>
      </c>
      <c r="D267">
        <f>B267*EXP(C267*p_off)</f>
        <v>-550.33733534258624</v>
      </c>
      <c r="F267">
        <f>C267^2+D267^2</f>
        <v>302871.18278120406</v>
      </c>
      <c r="G267">
        <f t="shared" si="9"/>
        <v>12.621062854758197</v>
      </c>
    </row>
    <row r="268" spans="1:7" x14ac:dyDescent="0.25">
      <c r="A268">
        <f t="shared" si="8"/>
        <v>2680</v>
      </c>
      <c r="B268">
        <f>r_OM*SIN(r_IM*(A268+r_S))</f>
        <v>-1.5734084762005749E-2</v>
      </c>
      <c r="C268">
        <f>p_OM*SIN(P_IM*(A268+p_S))</f>
        <v>1.0712933992199809E-2</v>
      </c>
      <c r="D268">
        <f>B268*EXP(C268*p_off)</f>
        <v>-706.98402933388536</v>
      </c>
      <c r="F268">
        <f>C268^2+D268^2</f>
        <v>499826.41784794303</v>
      </c>
      <c r="G268">
        <f t="shared" si="9"/>
        <v>13.122016152824736</v>
      </c>
    </row>
    <row r="269" spans="1:7" x14ac:dyDescent="0.25">
      <c r="A269">
        <f t="shared" si="8"/>
        <v>2690</v>
      </c>
      <c r="B269">
        <f>r_OM*SIN(r_IM*(A269+r_S))</f>
        <v>-1.555080881366072E-2</v>
      </c>
      <c r="C269">
        <f>p_OM*SIN(P_IM*(A269+p_S))</f>
        <v>1.0972237923348937E-2</v>
      </c>
      <c r="D269">
        <f>B269*EXP(C269*p_off)</f>
        <v>-905.59781563267256</v>
      </c>
      <c r="F269">
        <f>C269^2+D269^2</f>
        <v>820107.40379905794</v>
      </c>
      <c r="G269">
        <f t="shared" si="9"/>
        <v>13.617190590906027</v>
      </c>
    </row>
    <row r="270" spans="1:7" x14ac:dyDescent="0.25">
      <c r="A270">
        <f t="shared" si="8"/>
        <v>2700</v>
      </c>
      <c r="B270">
        <f>r_OM*SIN(r_IM*(A270+r_S))</f>
        <v>-1.5363757954388744E-2</v>
      </c>
      <c r="C270">
        <f>p_OM*SIN(P_IM*(A270+p_S))</f>
        <v>1.1228967253299008E-2</v>
      </c>
      <c r="D270">
        <f>B270*EXP(C270*p_off)</f>
        <v>-1156.5807831085251</v>
      </c>
      <c r="F270">
        <f>C270^2+D270^2</f>
        <v>1337679.107982019</v>
      </c>
      <c r="G270">
        <f t="shared" si="9"/>
        <v>14.10644666129674</v>
      </c>
    </row>
    <row r="271" spans="1:7" x14ac:dyDescent="0.25">
      <c r="A271">
        <f t="shared" si="8"/>
        <v>2710</v>
      </c>
      <c r="B271">
        <f>r_OM*SIN(r_IM*(A271+r_S))</f>
        <v>-1.517297759020962E-2</v>
      </c>
      <c r="C271">
        <f>p_OM*SIN(P_IM*(A271+p_S))</f>
        <v>1.1483061741318358E-2</v>
      </c>
      <c r="D271">
        <f>B271*EXP(C271*p_off)</f>
        <v>-1472.6555077458024</v>
      </c>
      <c r="F271">
        <f>C271^2+D271^2</f>
        <v>2168714.2446259079</v>
      </c>
      <c r="G271">
        <f t="shared" si="9"/>
        <v>14.589645035913577</v>
      </c>
    </row>
    <row r="272" spans="1:7" x14ac:dyDescent="0.25">
      <c r="A272">
        <f t="shared" si="8"/>
        <v>2720</v>
      </c>
      <c r="B272">
        <f>r_OM*SIN(r_IM*(A272+r_S))</f>
        <v>-1.4978514032468943E-2</v>
      </c>
      <c r="C272">
        <f>p_OM*SIN(P_IM*(A272+p_S))</f>
        <v>1.1734461764932707E-2</v>
      </c>
      <c r="D272">
        <f>B272*EXP(C272*p_off)</f>
        <v>-1869.3073914821782</v>
      </c>
      <c r="F272">
        <f>C272^2+D272^2</f>
        <v>3494310.123987603</v>
      </c>
      <c r="G272">
        <f t="shared" si="9"/>
        <v>15.066646524749197</v>
      </c>
    </row>
    <row r="273" spans="1:7" x14ac:dyDescent="0.25">
      <c r="A273">
        <f t="shared" si="8"/>
        <v>2730</v>
      </c>
      <c r="B273">
        <f>r_OM*SIN(r_IM*(A273+r_S))</f>
        <v>-1.4780414486596205E-2</v>
      </c>
      <c r="C273">
        <f>p_OM*SIN(P_IM*(A273+p_S))</f>
        <v>1.1983108333915349E-2</v>
      </c>
      <c r="D273">
        <f>B273*EXP(C273*p_off)</f>
        <v>-2365.2902337734399</v>
      </c>
      <c r="F273">
        <f>C273^2+D273^2</f>
        <v>5594597.8901276095</v>
      </c>
      <c r="G273">
        <f t="shared" si="9"/>
        <v>15.537312027641871</v>
      </c>
    </row>
    <row r="274" spans="1:7" x14ac:dyDescent="0.25">
      <c r="A274">
        <f t="shared" si="8"/>
        <v>2740</v>
      </c>
      <c r="B274">
        <f>r_OM*SIN(r_IM*(A274+r_S))</f>
        <v>-1.4578727040645802E-2</v>
      </c>
      <c r="C274">
        <f>p_OM*SIN(P_IM*(A274+p_S))</f>
        <v>1.222894310412913E-2</v>
      </c>
      <c r="D274">
        <f>B274*EXP(C274*p_off)</f>
        <v>-2983.1982412656812</v>
      </c>
      <c r="F274">
        <f>C274^2+D274^2</f>
        <v>8899471.7468401995</v>
      </c>
      <c r="G274">
        <f t="shared" si="9"/>
        <v>16.001502478653215</v>
      </c>
    </row>
    <row r="275" spans="1:7" x14ac:dyDescent="0.25">
      <c r="A275">
        <f t="shared" si="8"/>
        <v>2750</v>
      </c>
      <c r="B275">
        <f>r_OM*SIN(r_IM*(A275+r_S))</f>
        <v>-1.4373500653623857E-2</v>
      </c>
      <c r="C275">
        <f>p_OM*SIN(P_IM*(A275+p_S))</f>
        <v>1.2471908391216589E-2</v>
      </c>
      <c r="D275">
        <f>B275*EXP(C275*p_off)</f>
        <v>-3750.1060220872514</v>
      </c>
      <c r="F275">
        <f>C275^2+D275^2</f>
        <v>14063295.177050617</v>
      </c>
      <c r="G275">
        <f t="shared" si="9"/>
        <v>16.459078782253851</v>
      </c>
    </row>
    <row r="276" spans="1:7" x14ac:dyDescent="0.25">
      <c r="A276">
        <f t="shared" si="8"/>
        <v>2760</v>
      </c>
      <c r="B276">
        <f>r_OM*SIN(r_IM*(A276+r_S))</f>
        <v>-1.4164785143603498E-2</v>
      </c>
      <c r="C276">
        <f>p_OM*SIN(P_IM*(A276+p_S))</f>
        <v>1.271194718413554E-2</v>
      </c>
      <c r="D276">
        <f>B276*EXP(C276*p_off)</f>
        <v>-4698.2758041085599</v>
      </c>
      <c r="F276">
        <f>C276^2+D276^2</f>
        <v>22073795.531633526</v>
      </c>
      <c r="G276">
        <f t="shared" si="9"/>
        <v>16.909901740412298</v>
      </c>
    </row>
    <row r="277" spans="1:7" x14ac:dyDescent="0.25">
      <c r="A277">
        <f t="shared" si="8"/>
        <v>2770</v>
      </c>
      <c r="B277">
        <f>r_OM*SIN(r_IM*(A277+r_S))</f>
        <v>-1.3952631175631725E-2</v>
      </c>
      <c r="C277">
        <f>p_OM*SIN(P_IM*(A277+p_S))</f>
        <v>1.2949003158536409E-2</v>
      </c>
      <c r="D277">
        <f>B277*EXP(C277*p_off)</f>
        <v>-5865.9280553552271</v>
      </c>
      <c r="F277">
        <f>C277^2+D277^2</f>
        <v>34409111.950771235</v>
      </c>
      <c r="G277">
        <f t="shared" si="9"/>
        <v>17.353831969558367</v>
      </c>
    </row>
    <row r="278" spans="1:7" x14ac:dyDescent="0.25">
      <c r="A278">
        <f t="shared" si="8"/>
        <v>2780</v>
      </c>
      <c r="B278">
        <f>r_OM*SIN(r_IM*(A278+r_S))</f>
        <v>-1.3737090249430591E-2</v>
      </c>
      <c r="C278">
        <f>p_OM*SIN(P_IM*(A278+p_S))</f>
        <v>1.3183020689978677E-2</v>
      </c>
      <c r="D278">
        <f>B278*EXP(C278*p_off)</f>
        <v>-7298.067770477086</v>
      </c>
      <c r="F278">
        <f>C278^2+D278^2</f>
        <v>53261793.182650179</v>
      </c>
      <c r="G278">
        <f t="shared" si="9"/>
        <v>17.790729806252127</v>
      </c>
    </row>
    <row r="279" spans="1:7" x14ac:dyDescent="0.25">
      <c r="A279">
        <f t="shared" si="8"/>
        <v>2790</v>
      </c>
      <c r="B279">
        <f>r_OM*SIN(r_IM*(A279+r_S))</f>
        <v>-1.3518214686895874E-2</v>
      </c>
      <c r="C279">
        <f>p_OM*SIN(P_IM*(A279+p_S))</f>
        <v>1.3413944866982922E-2</v>
      </c>
      <c r="D279">
        <f>B279*EXP(C279*p_off)</f>
        <v>-9047.3538358556234</v>
      </c>
      <c r="F279">
        <f>C279^2+D279^2</f>
        <v>81854611.431351393</v>
      </c>
      <c r="G279">
        <f t="shared" si="9"/>
        <v>18.220455200223107</v>
      </c>
    </row>
    <row r="280" spans="1:7" x14ac:dyDescent="0.25">
      <c r="A280">
        <f t="shared" si="8"/>
        <v>2800</v>
      </c>
      <c r="B280">
        <f>r_OM*SIN(r_IM*(A280+r_S))</f>
        <v>-1.3296057619396E-2</v>
      </c>
      <c r="C280">
        <f>p_OM*SIN(P_IM*(A280+p_S))</f>
        <v>1.3641721503915599E-2</v>
      </c>
      <c r="D280">
        <f>B280*EXP(C280*p_off)</f>
        <v>-11174.993039587973</v>
      </c>
      <c r="F280">
        <f>C280^2+D280^2</f>
        <v>124880469.43502574</v>
      </c>
      <c r="G280">
        <f t="shared" si="9"/>
        <v>18.642867593253317</v>
      </c>
    </row>
    <row r="281" spans="1:7" x14ac:dyDescent="0.25">
      <c r="A281">
        <f t="shared" si="8"/>
        <v>2810</v>
      </c>
      <c r="B281">
        <f>r_OM*SIN(r_IM*(A281+r_S))</f>
        <v>-1.3070672974874631E-2</v>
      </c>
      <c r="C281">
        <f>p_OM*SIN(P_IM*(A281+p_S))</f>
        <v>1.3866297153703617E-2</v>
      </c>
      <c r="D281">
        <f>B281*EXP(C281*p_off)</f>
        <v>-13751.633431756867</v>
      </c>
      <c r="F281">
        <f>C281^2+D281^2</f>
        <v>189107422.04160544</v>
      </c>
      <c r="G281">
        <f t="shared" si="9"/>
        <v>19.057825782153035</v>
      </c>
    </row>
    <row r="282" spans="1:7" x14ac:dyDescent="0.25">
      <c r="A282">
        <f t="shared" si="8"/>
        <v>2820</v>
      </c>
      <c r="B282">
        <f>r_OM*SIN(r_IM*(A282+r_S))</f>
        <v>-1.2842115464759793E-2</v>
      </c>
      <c r="C282">
        <f>p_OM*SIN(P_IM*(A282+p_S))</f>
        <v>1.4087619120375419E-2</v>
      </c>
      <c r="D282">
        <f>B282*EXP(C282*p_off)</f>
        <v>-16858.223898473883</v>
      </c>
      <c r="F282">
        <f>C282^2+D282^2</f>
        <v>284199713.01127446</v>
      </c>
      <c r="G282">
        <f t="shared" si="9"/>
        <v>19.465187763814217</v>
      </c>
    </row>
    <row r="283" spans="1:7" x14ac:dyDescent="0.25">
      <c r="A283">
        <f t="shared" si="8"/>
        <v>2830</v>
      </c>
      <c r="B283">
        <f>r_OM*SIN(r_IM*(A283+r_S))</f>
        <v>-1.2610440570682903E-2</v>
      </c>
      <c r="C283">
        <f>p_OM*SIN(P_IM*(A283+p_S))</f>
        <v>1.4305635471426038E-2</v>
      </c>
      <c r="D283">
        <f>B283*EXP(C283*p_off)</f>
        <v>-20586.798091920311</v>
      </c>
      <c r="F283">
        <f>C283^2+D283^2</f>
        <v>423816255.67769837</v>
      </c>
      <c r="G283">
        <f t="shared" si="9"/>
        <v>19.864810560018263</v>
      </c>
    </row>
    <row r="284" spans="1:7" x14ac:dyDescent="0.25">
      <c r="A284">
        <f t="shared" si="8"/>
        <v>2840</v>
      </c>
      <c r="B284">
        <f>r_OM*SIN(r_IM*(A284+r_S))</f>
        <v>-1.2375704531010681E-2</v>
      </c>
      <c r="C284">
        <f>p_OM*SIN(P_IM*(A284+p_S))</f>
        <v>1.4520295050002782E-2</v>
      </c>
      <c r="D284">
        <f>B284*EXP(C284*p_off)</f>
        <v>-25041.131443930553</v>
      </c>
      <c r="F284">
        <f>C284^2+D284^2</f>
        <v>627058263.99241841</v>
      </c>
      <c r="G284">
        <f t="shared" si="9"/>
        <v>20.256550019307713</v>
      </c>
    </row>
    <row r="285" spans="1:7" x14ac:dyDescent="0.25">
      <c r="A285">
        <f t="shared" si="8"/>
        <v>2850</v>
      </c>
      <c r="B285">
        <f>r_OM*SIN(r_IM*(A285+r_S))</f>
        <v>-1.213796432719353E-2</v>
      </c>
      <c r="C285">
        <f>p_OM*SIN(P_IM*(A285+p_S))</f>
        <v>1.4731547486909134E-2</v>
      </c>
      <c r="D285">
        <f>B285*EXP(C285*p_off)</f>
        <v>-30337.21016799413</v>
      </c>
      <c r="F285">
        <f>C285^2+D285^2</f>
        <v>920346320.7772634</v>
      </c>
      <c r="G285">
        <f t="shared" si="9"/>
        <v>20.640260592800704</v>
      </c>
    </row>
    <row r="286" spans="1:7" x14ac:dyDescent="0.25">
      <c r="A286">
        <f t="shared" si="8"/>
        <v>2860</v>
      </c>
      <c r="B286">
        <f>r_OM*SIN(r_IM*(A286+r_S))</f>
        <v>-1.1897277669933431E-2</v>
      </c>
      <c r="C286">
        <f>p_OM*SIN(P_IM*(A286+p_S))</f>
        <v>1.4939343212423668E-2</v>
      </c>
      <c r="D286">
        <f>B286*EXP(C286*p_off)</f>
        <v>-36603.441321805672</v>
      </c>
      <c r="F286">
        <f>C286^2+D286^2</f>
        <v>1339811916.5990942</v>
      </c>
      <c r="G286">
        <f t="shared" si="9"/>
        <v>21.015795080310795</v>
      </c>
    </row>
    <row r="287" spans="1:7" x14ac:dyDescent="0.25">
      <c r="A287">
        <f t="shared" si="8"/>
        <v>2870</v>
      </c>
      <c r="B287">
        <f>r_OM*SIN(r_IM*(A287+r_S))</f>
        <v>-1.1653702985174893E-2</v>
      </c>
      <c r="C287">
        <f>p_OM*SIN(P_IM*(A287+p_S))</f>
        <v>1.5143633467931409E-2</v>
      </c>
      <c r="D287">
        <f>B287*EXP(C287*p_off)</f>
        <v>-43980.523679682061</v>
      </c>
      <c r="F287">
        <f>C287^2+D287^2</f>
        <v>1934286463.1393039</v>
      </c>
      <c r="G287">
        <f t="shared" si="9"/>
        <v>21.383004342522501</v>
      </c>
    </row>
    <row r="288" spans="1:7" x14ac:dyDescent="0.25">
      <c r="A288">
        <f t="shared" si="8"/>
        <v>2880</v>
      </c>
      <c r="B288">
        <f>r_OM*SIN(r_IM*(A288+r_S))</f>
        <v>-1.1407299399922166E-2</v>
      </c>
      <c r="C288">
        <f>p_OM*SIN(P_IM*(A288+p_S))</f>
        <v>1.5344370317364969E-2</v>
      </c>
      <c r="D288">
        <f>B288*EXP(C288*p_off)</f>
        <v>-52620.890996973591</v>
      </c>
      <c r="F288">
        <f>C288^2+D288^2</f>
        <v>2768958169.3156118</v>
      </c>
      <c r="G288">
        <f t="shared" si="9"/>
        <v>21.741736974237309</v>
      </c>
    </row>
    <row r="289" spans="1:7" x14ac:dyDescent="0.25">
      <c r="A289">
        <f t="shared" si="8"/>
        <v>2890</v>
      </c>
      <c r="B289">
        <f>r_OM*SIN(r_IM*(A289+r_S))</f>
        <v>-1.1158126727886391E-2</v>
      </c>
      <c r="C289">
        <f>p_OM*SIN(P_IM*(A289+p_S))</f>
        <v>1.5541506658452492E-2</v>
      </c>
      <c r="D289">
        <f>B289*EXP(C289*p_off)</f>
        <v>-62687.633004566429</v>
      </c>
      <c r="F289">
        <f>C289^2+D289^2</f>
        <v>3929739331.7154479</v>
      </c>
      <c r="G289">
        <f t="shared" si="9"/>
        <v>22.091838932820021</v>
      </c>
    </row>
    <row r="290" spans="1:7" x14ac:dyDescent="0.25">
      <c r="A290">
        <f t="shared" si="8"/>
        <v>2900</v>
      </c>
      <c r="B290">
        <f>r_OM*SIN(r_IM*(A290+r_S))</f>
        <v>-1.0906245454965983E-2</v>
      </c>
      <c r="C290">
        <f>p_OM*SIN(P_IM*(A290+p_S))</f>
        <v>1.5734996233770161E-2</v>
      </c>
      <c r="D290">
        <f>B290*EXP(C290*p_off)</f>
        <v>-74352.796026382057</v>
      </c>
      <c r="F290">
        <f>C290^2+D290^2</f>
        <v>5528338276.9410229</v>
      </c>
      <c r="G290">
        <f t="shared" si="9"/>
        <v>22.433153114908034</v>
      </c>
    </row>
    <row r="291" spans="1:7" x14ac:dyDescent="0.25">
      <c r="A291">
        <f t="shared" si="8"/>
        <v>2910</v>
      </c>
      <c r="B291">
        <f>r_OM*SIN(r_IM*(A291+r_S))</f>
        <v>-1.0651716724563914E-2</v>
      </c>
      <c r="C291">
        <f>p_OM*SIN(P_IM*(A291+p_S))</f>
        <v>1.5924793641596248E-2</v>
      </c>
      <c r="D291">
        <f>B291*EXP(C291*p_off)</f>
        <v>-87794.965424611713</v>
      </c>
      <c r="F291">
        <f>C291^2+D291^2</f>
        <v>7707955953.9090195</v>
      </c>
      <c r="G291">
        <f t="shared" si="9"/>
        <v>22.76551887314762</v>
      </c>
    </row>
    <row r="292" spans="1:7" x14ac:dyDescent="0.25">
      <c r="A292">
        <f t="shared" si="8"/>
        <v>2920</v>
      </c>
      <c r="B292">
        <f>r_OM*SIN(r_IM*(A292+r_S))</f>
        <v>-1.0394602322745267E-2</v>
      </c>
      <c r="C292">
        <f>p_OM*SIN(P_IM*(A292+p_S))</f>
        <v>1.6110854346564587E-2</v>
      </c>
      <c r="D292">
        <f>B292*EXP(C292*p_off)</f>
        <v>-103196.03714870516</v>
      </c>
      <c r="F292">
        <f>C292^2+D292^2</f>
        <v>10649422083.197195</v>
      </c>
      <c r="G292">
        <f t="shared" si="9"/>
        <v>23.088771463140947</v>
      </c>
    </row>
    <row r="293" spans="1:7" x14ac:dyDescent="0.25">
      <c r="A293">
        <f t="shared" si="8"/>
        <v>2930</v>
      </c>
      <c r="B293">
        <f>r_OM*SIN(r_IM*(A293+r_S))</f>
        <v>-1.0134964663238889E-2</v>
      </c>
      <c r="C293">
        <f>p_OM*SIN(P_IM*(A293+p_S))</f>
        <v>1.6293134690114602E-2</v>
      </c>
      <c r="D293">
        <f>B293*EXP(C293*p_off)</f>
        <v>-120737.09648820772</v>
      </c>
      <c r="F293">
        <f>C293^2+D293^2</f>
        <v>14577446468.403048</v>
      </c>
      <c r="G293">
        <f t="shared" si="9"/>
        <v>23.402741408846882</v>
      </c>
    </row>
    <row r="294" spans="1:7" x14ac:dyDescent="0.25">
      <c r="A294">
        <f t="shared" si="8"/>
        <v>2940</v>
      </c>
      <c r="B294">
        <f>r_OM*SIN(r_IM*(A294+r_S))</f>
        <v>-9.8728667722867043E-3</v>
      </c>
      <c r="C294">
        <f>p_OM*SIN(P_IM*(A294+p_S))</f>
        <v>1.6471591900735636E-2</v>
      </c>
      <c r="D294">
        <f>B294*EXP(C294*p_off)</f>
        <v>-140593.33962448052</v>
      </c>
      <c r="F294">
        <f>C294^2+D294^2</f>
        <v>19766487146.764793</v>
      </c>
      <c r="G294">
        <f t="shared" si="9"/>
        <v>23.707253772289548</v>
      </c>
    </row>
    <row r="295" spans="1:7" x14ac:dyDescent="0.25">
      <c r="A295">
        <f t="shared" si="8"/>
        <v>2950</v>
      </c>
      <c r="B295">
        <f>r_OM*SIN(r_IM*(A295+r_S))</f>
        <v>-9.6083722733441863E-3</v>
      </c>
      <c r="C295">
        <f>p_OM*SIN(P_IM*(A295+p_S))</f>
        <v>1.6646184104003214E-2</v>
      </c>
      <c r="D295">
        <f>B295*EXP(C295*p_off)</f>
        <v>-162927.99850457592</v>
      </c>
      <c r="F295">
        <f>C295^2+D295^2</f>
        <v>26545532696.707375</v>
      </c>
      <c r="G295">
        <f t="shared" si="9"/>
        <v>24.002127310466033</v>
      </c>
    </row>
    <row r="296" spans="1:7" x14ac:dyDescent="0.25">
      <c r="A296">
        <f t="shared" si="8"/>
        <v>2960</v>
      </c>
      <c r="B296">
        <f>r_OM*SIN(r_IM*(A296+r_S))</f>
        <v>-9.3415453716360446E-3</v>
      </c>
      <c r="C296">
        <f>p_OM*SIN(P_IM*(A296+p_S))</f>
        <v>1.6816870332404674E-2</v>
      </c>
      <c r="D296">
        <f>B296*EXP(C296*p_off)</f>
        <v>-187885.26243926573</v>
      </c>
      <c r="F296">
        <f>C296^2+D296^2</f>
        <v>35300871841.87204</v>
      </c>
      <c r="G296">
        <f t="shared" si="9"/>
        <v>24.287173498650699</v>
      </c>
    </row>
    <row r="297" spans="1:7" x14ac:dyDescent="0.25">
      <c r="A297">
        <f t="shared" si="8"/>
        <v>2970</v>
      </c>
      <c r="B297">
        <f>r_OM*SIN(r_IM*(A297+r_S))</f>
        <v>-9.0724508385705473E-3</v>
      </c>
      <c r="C297">
        <f>p_OM*SIN(P_IM*(A297+p_S))</f>
        <v>1.6983610534952131E-2</v>
      </c>
      <c r="D297">
        <f>B297*EXP(C297*p_off)</f>
        <v>-215582.23083222104</v>
      </c>
      <c r="F297">
        <f>C297^2+D297^2</f>
        <v>46475698250.597328</v>
      </c>
      <c r="G297">
        <f t="shared" si="9"/>
        <v>24.562195394660471</v>
      </c>
    </row>
    <row r="298" spans="1:7" x14ac:dyDescent="0.25">
      <c r="A298">
        <f t="shared" si="8"/>
        <v>2980</v>
      </c>
      <c r="B298">
        <f>r_OM*SIN(r_IM*(A298+r_S))</f>
        <v>-8.8011539960165374E-3</v>
      </c>
      <c r="C298">
        <f>p_OM*SIN(P_IM*(A298+p_S))</f>
        <v>1.7146365586580257E-2</v>
      </c>
      <c r="D298">
        <f>B298*EXP(C298*p_off)</f>
        <v>-246099.98031607139</v>
      </c>
      <c r="F298">
        <f>C298^2+D298^2</f>
        <v>60565200311.571022</v>
      </c>
      <c r="G298">
        <f t="shared" si="9"/>
        <v>24.82698631279138</v>
      </c>
    </row>
    <row r="299" spans="1:7" x14ac:dyDescent="0.25">
      <c r="A299">
        <f t="shared" si="8"/>
        <v>2990</v>
      </c>
      <c r="B299">
        <f>r_OM*SIN(r_IM*(A299+r_S))</f>
        <v>-8.5277207004466546E-3</v>
      </c>
      <c r="C299">
        <f>p_OM*SIN(P_IM*(A299+p_S))</f>
        <v>1.7305097297326894E-2</v>
      </c>
      <c r="D299">
        <f>B299*EXP(C299*p_off)</f>
        <v>-279473.88551396562</v>
      </c>
      <c r="F299">
        <f>C299^2+D299^2</f>
        <v>78105652684.273468</v>
      </c>
      <c r="G299">
        <f t="shared" si="9"/>
        <v>25.081328268692431</v>
      </c>
    </row>
    <row r="300" spans="1:7" x14ac:dyDescent="0.25">
      <c r="A300">
        <f t="shared" si="8"/>
        <v>3000</v>
      </c>
      <c r="B300">
        <f>r_OM*SIN(r_IM*(A300+r_S))</f>
        <v>-8.2522173269509412E-3</v>
      </c>
      <c r="C300">
        <f>p_OM*SIN(P_IM*(A300+p_S))</f>
        <v>1.7459768421294219E-2</v>
      </c>
      <c r="D300">
        <f>B300*EXP(C300*p_off)</f>
        <v>-315683.39427085564</v>
      </c>
      <c r="F300">
        <f>C300^2+D300^2</f>
        <v>99656005418.368805</v>
      </c>
      <c r="G300">
        <f t="shared" si="9"/>
        <v>25.324990146900923</v>
      </c>
    </row>
    <row r="301" spans="1:7" x14ac:dyDescent="0.25">
      <c r="A301">
        <f t="shared" si="8"/>
        <v>3010</v>
      </c>
      <c r="B301">
        <f>r_OM*SIN(r_IM*(A301+r_S))</f>
        <v>-7.9747107531244633E-3</v>
      </c>
      <c r="C301">
        <f>p_OM*SIN(P_IM*(A301+p_S))</f>
        <v>1.7610342665388308E-2</v>
      </c>
      <c r="D301">
        <f>B301*EXP(C301*p_off)</f>
        <v>-354641.52346568054</v>
      </c>
      <c r="F301">
        <f>C301^2+D301^2</f>
        <v>125770610166.05914</v>
      </c>
      <c r="G301">
        <f t="shared" si="9"/>
        <v>25.557725530437288</v>
      </c>
    </row>
    <row r="302" spans="1:7" x14ac:dyDescent="0.25">
      <c r="A302">
        <f t="shared" si="8"/>
        <v>3020</v>
      </c>
      <c r="B302">
        <f>r_OM*SIN(r_IM*(A302+r_S))</f>
        <v>-7.6952683428330379E-3</v>
      </c>
      <c r="C302">
        <f>p_OM*SIN(P_IM*(A302+p_S))</f>
        <v>1.7756784697835291E-2</v>
      </c>
      <c r="D302">
        <f>B302*EXP(C302*p_off)</f>
        <v>-396184.40771808242</v>
      </c>
      <c r="F302">
        <f>C302^2+D302^2</f>
        <v>156962084918.92807</v>
      </c>
      <c r="G302">
        <f t="shared" si="9"/>
        <v>25.779270115797875</v>
      </c>
    </row>
    <row r="303" spans="1:7" x14ac:dyDescent="0.25">
      <c r="A303">
        <f t="shared" si="8"/>
        <v>3030</v>
      </c>
      <c r="B303">
        <f>r_OM*SIN(r_IM*(A303+r_S))</f>
        <v>-7.4139579298607801E-3</v>
      </c>
      <c r="C303">
        <f>p_OM*SIN(P_IM*(A303+p_S))</f>
        <v>1.7899060156471757E-2</v>
      </c>
      <c r="D303">
        <f>B303*EXP(C303*p_off)</f>
        <v>-440061.29710048664</v>
      </c>
      <c r="F303">
        <f>C303^2+D303^2</f>
        <v>193653945205.76309</v>
      </c>
      <c r="G303">
        <f t="shared" si="9"/>
        <v>25.989338615567004</v>
      </c>
    </row>
    <row r="304" spans="1:7" x14ac:dyDescent="0.25">
      <c r="A304">
        <f t="shared" si="8"/>
        <v>3040</v>
      </c>
      <c r="B304">
        <f>r_OM*SIN(r_IM*(A304+r_S))</f>
        <v>-7.1308478014437083E-3</v>
      </c>
      <c r="C304">
        <f>p_OM*SIN(P_IM*(A304+p_S))</f>
        <v>1.8037135656807795E-2</v>
      </c>
      <c r="D304">
        <f>B304*EXP(C304*p_off)</f>
        <v>-485925.45746466011</v>
      </c>
      <c r="F304">
        <f>C304^2+D304^2</f>
        <v>236123550212.23953</v>
      </c>
      <c r="G304">
        <f t="shared" si="9"/>
        <v>26.187621022832833</v>
      </c>
    </row>
    <row r="305" spans="1:7" x14ac:dyDescent="0.25">
      <c r="A305">
        <f t="shared" si="8"/>
        <v>3050</v>
      </c>
      <c r="B305">
        <f>r_OM*SIN(r_IM*(A305+r_S))</f>
        <v>-6.8460066816932088E-3</v>
      </c>
      <c r="C305">
        <f>p_OM*SIN(P_IM*(A305+p_S))</f>
        <v>1.8170978799860498E-2</v>
      </c>
      <c r="D305">
        <f>B305*EXP(C305*p_off)</f>
        <v>-533326.47388068342</v>
      </c>
      <c r="F305">
        <f>C305^2+D305^2</f>
        <v>284437127742.0036</v>
      </c>
      <c r="G305">
        <f t="shared" si="9"/>
        <v>26.373778073970946</v>
      </c>
    </row>
    <row r="306" spans="1:7" x14ac:dyDescent="0.25">
      <c r="A306">
        <f t="shared" si="8"/>
        <v>3060</v>
      </c>
      <c r="B306">
        <f>r_OM*SIN(r_IM*(A306+r_S))</f>
        <v>-6.5595037149135289E-3</v>
      </c>
      <c r="C306">
        <f>p_OM*SIN(P_IM*(A306+p_S))</f>
        <v>1.830055817975635E-2</v>
      </c>
      <c r="D306">
        <f>B306*EXP(C306*p_off)</f>
        <v>-581704.4894354709</v>
      </c>
      <c r="F306">
        <f>C306^2+D306^2</f>
        <v>338380113029.3822</v>
      </c>
      <c r="G306">
        <f t="shared" si="9"/>
        <v>26.547435695307925</v>
      </c>
    </row>
    <row r="307" spans="1:7" x14ac:dyDescent="0.25">
      <c r="A307">
        <f t="shared" si="8"/>
        <v>3070</v>
      </c>
      <c r="B307">
        <f>r_OM*SIN(r_IM*(A307+r_S))</f>
        <v>-6.271408448817112E-3</v>
      </c>
      <c r="C307">
        <f>p_OM*SIN(P_IM*(A307+p_S))</f>
        <v>1.8425843391100465E-2</v>
      </c>
      <c r="D307">
        <f>B307*EXP(C307*p_off)</f>
        <v>-630386.92374610365</v>
      </c>
      <c r="F307">
        <f>C307^2+D307^2</f>
        <v>397387673630.07629</v>
      </c>
      <c r="G307">
        <f t="shared" si="9"/>
        <v>26.708178149044262</v>
      </c>
    </row>
    <row r="308" spans="1:7" x14ac:dyDescent="0.25">
      <c r="A308">
        <f t="shared" si="8"/>
        <v>3080</v>
      </c>
      <c r="B308">
        <f>r_OM*SIN(r_IM*(A308+r_S))</f>
        <v>-5.9817908176421717E-3</v>
      </c>
      <c r="C308">
        <f>p_OM*SIN(P_IM*(A308+p_S))</f>
        <v>1.8546805036111121E-2</v>
      </c>
      <c r="D308">
        <f>B308*EXP(C308*p_off)</f>
        <v>-678588.20383644395</v>
      </c>
      <c r="F308">
        <f>C308^2+D308^2</f>
        <v>460481950385.97156</v>
      </c>
      <c r="G308">
        <f t="shared" si="9"/>
        <v>26.855539496186243</v>
      </c>
    </row>
    <row r="309" spans="1:7" x14ac:dyDescent="0.25">
      <c r="A309">
        <f t="shared" si="8"/>
        <v>3090</v>
      </c>
      <c r="B309">
        <f>r_OM*SIN(r_IM*(A309+r_S))</f>
        <v>-5.6907211251763356E-3</v>
      </c>
      <c r="C309">
        <f>p_OM*SIN(P_IM*(A309+p_S))</f>
        <v>1.8663414731517895E-2</v>
      </c>
      <c r="D309">
        <f>B309*EXP(C309*p_off)</f>
        <v>-725413.00098531751</v>
      </c>
      <c r="F309">
        <f>C309^2+D309^2</f>
        <v>526224021998.52466</v>
      </c>
      <c r="G309">
        <f t="shared" si="9"/>
        <v>26.988992856351192</v>
      </c>
    </row>
    <row r="310" spans="1:7" x14ac:dyDescent="0.25">
      <c r="A310">
        <f t="shared" si="8"/>
        <v>3100</v>
      </c>
      <c r="B310">
        <f>r_OM*SIN(r_IM*(A310+r_S))</f>
        <v>-5.3982700276906893E-3</v>
      </c>
      <c r="C310">
        <f>p_OM*SIN(P_IM*(A310+p_S))</f>
        <v>1.8775645115221656E-2</v>
      </c>
      <c r="D310">
        <f>B310*EXP(C310*p_off)</f>
        <v>-769863.39826366154</v>
      </c>
      <c r="F310">
        <f>C310^2+D310^2</f>
        <v>592689651986.07349</v>
      </c>
      <c r="G310">
        <f t="shared" si="9"/>
        <v>27.107936746478753</v>
      </c>
    </row>
    <row r="311" spans="1:7" x14ac:dyDescent="0.25">
      <c r="A311">
        <f t="shared" si="8"/>
        <v>3110</v>
      </c>
      <c r="B311">
        <f>r_OM*SIN(r_IM*(A311+r_S))</f>
        <v>-5.1045085167880774E-3</v>
      </c>
      <c r="C311">
        <f>p_OM*SIN(P_IM*(A311+p_S))</f>
        <v>1.8883469852715041E-2</v>
      </c>
      <c r="D311">
        <f>B311*EXP(C311*p_off)</f>
        <v>-810850.31355346739</v>
      </c>
      <c r="F311">
        <f>C311^2+D311^2</f>
        <v>657478230989.75671</v>
      </c>
      <c r="G311">
        <f t="shared" si="9"/>
        <v>27.211677491689397</v>
      </c>
    </row>
    <row r="312" spans="1:7" x14ac:dyDescent="0.25">
      <c r="A312">
        <f t="shared" si="8"/>
        <v>3120</v>
      </c>
      <c r="B312">
        <f>r_OM*SIN(r_IM*(A312+r_S))</f>
        <v>-4.8095079021701834E-3</v>
      </c>
      <c r="C312">
        <f>p_OM*SIN(P_IM*(A312+p_S))</f>
        <v>1.8986863643261728E-2</v>
      </c>
      <c r="D312">
        <f>B312*EXP(C312*p_off)</f>
        <v>-847209.37233151216</v>
      </c>
      <c r="F312">
        <f>C312^2+D312^2</f>
        <v>717763720566.35522</v>
      </c>
      <c r="G312">
        <f t="shared" si="9"/>
        <v>27.299406271844784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Sheet1</vt:lpstr>
      <vt:lpstr>Focused</vt:lpstr>
      <vt:lpstr>NP</vt:lpstr>
      <vt:lpstr>Sheet2</vt:lpstr>
      <vt:lpstr>A</vt:lpstr>
      <vt:lpstr>B</vt:lpstr>
      <vt:lpstr>C_</vt:lpstr>
      <vt:lpstr>P_IM</vt:lpstr>
      <vt:lpstr>p_off</vt:lpstr>
      <vt:lpstr>p_OM</vt:lpstr>
      <vt:lpstr>p_S</vt:lpstr>
      <vt:lpstr>phi</vt:lpstr>
      <vt:lpstr>r_IM</vt:lpstr>
      <vt:lpstr>r_OM</vt:lpstr>
      <vt:lpstr>r_S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Colton L Bruni</dc:creator>
  <cp:lastModifiedBy>Colton L Bruni</cp:lastModifiedBy>
  <dcterms:created xsi:type="dcterms:W3CDTF">2025-09-20T04:27:42Z</dcterms:created>
  <dcterms:modified xsi:type="dcterms:W3CDTF">2025-10-02T15:09:55Z</dcterms:modified>
</cp:coreProperties>
</file>